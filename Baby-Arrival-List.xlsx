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Summary" sheetId="2" state="visible" r:id="rId4"/>
    <sheet name="Tips" sheetId="3" state="visible" r:id="rId5"/>
  </sheets>
  <definedNames>
    <definedName function="false" hidden="true" localSheetId="0" name="_xlnm._FilterDatabase" vbProcedure="false">'Shopping List'!$A$1:$O$64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F1" authorId="0">
      <text>
        <r>
          <rPr>
            <sz val="10"/>
            <rFont val="Arial"/>
            <family val="2"/>
          </rPr>
          <t xml:space="preserve">Amazon prices checked October 9, 2026. Prices change often; re-check before buying.</t>
        </r>
      </text>
    </comment>
    <comment ref="H1" authorId="0">
      <text>
        <r>
          <rPr>
            <sz val="10"/>
            <rFont val="Arial"/>
            <family val="2"/>
          </rPr>
          <t xml:space="preserve">Yellow cells are yours to edit: # to buy, Status (Idea / Want / Got / Skip), and Our notes.</t>
        </r>
      </text>
    </comment>
  </commentList>
</comments>
</file>

<file path=xl/sharedStrings.xml><?xml version="1.0" encoding="utf-8"?>
<sst xmlns="http://schemas.openxmlformats.org/spreadsheetml/2006/main" count="587" uniqueCount="296">
  <si>
    <t xml:space="preserve">Category</t>
  </si>
  <si>
    <t xml:space="preserve">Item</t>
  </si>
  <si>
    <t xml:space="preserve">When</t>
  </si>
  <si>
    <t xml:space="preserve">Pack / size</t>
  </si>
  <si>
    <t xml:space="preserve"># to buy</t>
  </si>
  <si>
    <t xml:space="preserve">Price each</t>
  </si>
  <si>
    <t xml:space="preserve">Line total</t>
  </si>
  <si>
    <t xml:space="preserve">Status</t>
  </si>
  <si>
    <t xml:space="preserve">Amazon product</t>
  </si>
  <si>
    <t xml:space="preserve">Link</t>
  </si>
  <si>
    <t xml:space="preserve">Rating</t>
  </si>
  <si>
    <t xml:space="preserve">Ratings count</t>
  </si>
  <si>
    <t xml:space="preserve">What it is</t>
  </si>
  <si>
    <t xml:space="preserve">Tip</t>
  </si>
  <si>
    <t xml:space="preserve">Our notes</t>
  </si>
  <si>
    <t xml:space="preserve">Travel</t>
  </si>
  <si>
    <t xml:space="preserve">Car seat + stroller (travel system)</t>
  </si>
  <si>
    <t xml:space="preserve">Before birth</t>
  </si>
  <si>
    <t xml:space="preserve">1</t>
  </si>
  <si>
    <t xml:space="preserve">Idea</t>
  </si>
  <si>
    <t xml:space="preserve">Baby Trend EZ Ride Travel System with EZ-Lift Infant Car Seat, Dash Grey</t>
  </si>
  <si>
    <t xml:space="preserve">Open</t>
  </si>
  <si>
    <t xml:space="preserve">Infant car seat that clicks into a matching stroller. The one thing the hospital requires before you leave.</t>
  </si>
  <si>
    <t xml:space="preserve">Budget pick. Install it by week 36 and get a free car seat check.</t>
  </si>
  <si>
    <t xml:space="preserve">Upgrade: Chicco KeyFit 35 car seat</t>
  </si>
  <si>
    <t xml:space="preserve">Optional</t>
  </si>
  <si>
    <t xml:space="preserve">Chicco KeyFit 35 Infant Car Seat (check the listing says KeyFit 35)</t>
  </si>
  <si>
    <t xml:space="preserve">A top-rated infant car seat with easy, very secure installation. Lasts longer (up to 35 lb).</t>
  </si>
  <si>
    <t xml:space="preserve">Only if you skip the travel system. Pair with a Chicco-compatible stroller.</t>
  </si>
  <si>
    <t xml:space="preserve">Back-seat mirror</t>
  </si>
  <si>
    <t xml:space="preserve">Shynerk Baby Car Mirror, Safety Car Seat Mirror for Rear Facing Infant with Wide Crystal Clear View, Shatterpr</t>
  </si>
  <si>
    <t xml:space="preserve">Lets you see the rear-facing baby from the driver seat.</t>
  </si>
  <si>
    <t xml:space="preserve">Car window sun shades</t>
  </si>
  <si>
    <t xml:space="preserve">2-pack</t>
  </si>
  <si>
    <t xml:space="preserve">Munchkin Brica Sun Safety Car Window Shade for Baby, 2 Pack, Black</t>
  </si>
  <si>
    <t xml:space="preserve">Cling-on shades for the back side windows. A must for Arizona sun.</t>
  </si>
  <si>
    <t xml:space="preserve">Diaper bag backpack</t>
  </si>
  <si>
    <t xml:space="preserve">BabbleRoo Extra Large Diaper Bag Backpack, Expandable Baby Bag with Up to 50% More Capacity - Travel Essential</t>
  </si>
  <si>
    <t xml:space="preserve">Big backpack-style bag with insulated bottle pockets and a changing pad.</t>
  </si>
  <si>
    <t xml:space="preserve">Cheaper option: Tenot diaper backpack, about $19.</t>
  </si>
  <si>
    <t xml:space="preserve">Baby carrier</t>
  </si>
  <si>
    <t xml:space="preserve">First weeks</t>
  </si>
  <si>
    <t xml:space="preserve">Infantino Flip 4-in-1 Baby Carrier Convertible Ergonomic, Gray</t>
  </si>
  <si>
    <t xml:space="preserve">Soft structured carrier, front or back, from about 8 lb. Hands-free errands and fussy evenings.</t>
  </si>
  <si>
    <t xml:space="preserve">Stretchy newborn wrap</t>
  </si>
  <si>
    <t xml:space="preserve">Boba Baby Wrap Carrier - Stretch Cotton Newborn Sling, Gray</t>
  </si>
  <si>
    <t xml:space="preserve">Soft fabric wrap that newborns love for the first 3 months.</t>
  </si>
  <si>
    <t xml:space="preserve">Nice extra; the carrier above covers most needs.</t>
  </si>
  <si>
    <t xml:space="preserve">Sleep</t>
  </si>
  <si>
    <t xml:space="preserve">Pack ’n Play with bassinet</t>
  </si>
  <si>
    <t xml:space="preserve">Graco Close2Baby Pack 'n Play Playard, Derby</t>
  </si>
  <si>
    <t xml:space="preserve">Bedside bassinet for the first months, then a playard. Doubles as the travel crib.</t>
  </si>
  <si>
    <t xml:space="preserve">Means you can wait on the crib until the baby is 4–6 months old.</t>
  </si>
  <si>
    <t xml:space="preserve">Pack ’n Play fitted sheets</t>
  </si>
  <si>
    <t xml:space="preserve">2-pack × 2</t>
  </si>
  <si>
    <t xml:space="preserve">Yoofoss 2-Pack Pack and Play Sheets Fitted 38x26 (Green+Giraffe)</t>
  </si>
  <si>
    <t xml:space="preserve">Fitted sheets sized 38×26" for the playard mattress. Blowouts happen at night, so have spares.</t>
  </si>
  <si>
    <t xml:space="preserve">Swaddle sleep sacks</t>
  </si>
  <si>
    <t xml:space="preserve">2</t>
  </si>
  <si>
    <t xml:space="preserve">HALO SleepSack Swaddle | Cotton | 1.5 TOG | 68-75°F | 6-12 lbs |Cream</t>
  </si>
  <si>
    <t xml:space="preserve">Wearable swaddle with Velcro wings. Easier and safer than wrapping a blanket.</t>
  </si>
  <si>
    <t xml:space="preserve">Newborn size fits 6–12 lb.</t>
  </si>
  <si>
    <t xml:space="preserve">Muslin swaddle blankets</t>
  </si>
  <si>
    <t xml:space="preserve">4-pack</t>
  </si>
  <si>
    <t xml:space="preserve">aden + anais Swaddle Blanket, Boutique Muslin Blankets for Girls &amp; Boys, Baby Receiving Swaddles, Ideal Newbor</t>
  </si>
  <si>
    <t xml:space="preserve">Light, breathable blankets for swaddling, nursing cover, stroller shade and burp cloth.</t>
  </si>
  <si>
    <t xml:space="preserve">Sound machine + night light</t>
  </si>
  <si>
    <t xml:space="preserve">Hatch Baby Sound Machine &amp; Night Light Routine Builder (Mint)</t>
  </si>
  <si>
    <t xml:space="preserve">White noise plus a dim night light for feeds, controlled from your phone.</t>
  </si>
  <si>
    <t xml:space="preserve">Baby monitor</t>
  </si>
  <si>
    <t xml:space="preserve">WYZE Cam v4 (Latest Model), 2.5K AI Security Camera, Indoor/Outdoor Cameras for Home Security, Baby Monitor &amp; </t>
  </si>
  <si>
    <t xml:space="preserve">Video monitor with night vision and alerts on your phone.</t>
  </si>
  <si>
    <t xml:space="preserve">You already own Wyze cams. Reuse one and spend $0.</t>
  </si>
  <si>
    <t xml:space="preserve">Sleep sacks (wearable blanket)</t>
  </si>
  <si>
    <t xml:space="preserve">Later (2+ months)</t>
  </si>
  <si>
    <t xml:space="preserve">HALO SleepSack, 100% Cotton Wearable Blanket, Swaddle Transition Sleeping Bag, TOG 0.5</t>
  </si>
  <si>
    <t xml:space="preserve">Replaces blankets once baby is out of the swaddle, around 3–4 months.</t>
  </si>
  <si>
    <t xml:space="preserve">Convertible crib</t>
  </si>
  <si>
    <t xml:space="preserve">Delta Children Essex 4-in-1 Convertible Baby Crib, Bianca White with Natural Legs</t>
  </si>
  <si>
    <t xml:space="preserve">Converts to toddler bed, daybed and full-size bed.</t>
  </si>
  <si>
    <t xml:space="preserve">Buy when the baby moves out of the bassinet.</t>
  </si>
  <si>
    <t xml:space="preserve">Crib mattress</t>
  </si>
  <si>
    <t xml:space="preserve">Dream On Me 2-in-1 Serene Snooze Baby Crib Mattress, GREENGUARD Gold</t>
  </si>
  <si>
    <t xml:space="preserve">Firm, GREENGUARD Gold certified, with an infant side and a toddler side.</t>
  </si>
  <si>
    <t xml:space="preserve">Always buy new. Newton Essential (~$200) is a breathable, washable upgrade.</t>
  </si>
  <si>
    <t xml:space="preserve">Feeding</t>
  </si>
  <si>
    <t xml:space="preserve">Breast pump (through insurance)</t>
  </si>
  <si>
    <t xml:space="preserve">Electric pump covered by health insurance (e.g., via Aeroflow)</t>
  </si>
  <si>
    <t xml:space="preserve">Most insurance plans must cover an electric breast pump at no cost.</t>
  </si>
  <si>
    <t xml:space="preserve">Request it in December; it ships before the due date.</t>
  </si>
  <si>
    <t xml:space="preserve">Bottles (4 oz)</t>
  </si>
  <si>
    <t xml:space="preserve">Dr. Brown's Anti-Colic Options+ Narrow Baby Bottle, Clear, 4 oz, 4-Pack</t>
  </si>
  <si>
    <t xml:space="preserve">Anti-colic newborn bottles. Even breastfed babies often get some bottles.</t>
  </si>
  <si>
    <t xml:space="preserve">Start with one pack and see what your baby likes.</t>
  </si>
  <si>
    <t xml:space="preserve">Bottle brush</t>
  </si>
  <si>
    <t xml:space="preserve">OXO Tot Baby Bottle Brush with Nipple Cleaner, Baby Bottle Cleaner, Blossom</t>
  </si>
  <si>
    <t xml:space="preserve">Brush with a built-in nipple cleaner.</t>
  </si>
  <si>
    <t xml:space="preserve">Bottle drying rack</t>
  </si>
  <si>
    <t xml:space="preserve">Boon Lawn Countertop Baby Bottle Drying Rack - Spring Green - 13.5x11x2.5</t>
  </si>
  <si>
    <t xml:space="preserve">Countertop rack for bottles, pump parts and pacifiers.</t>
  </si>
  <si>
    <t xml:space="preserve">Burp cloths</t>
  </si>
  <si>
    <t xml:space="preserve">10-pack</t>
  </si>
  <si>
    <t xml:space="preserve">Comfy Cubs Muslin Burp Cloths 20x10" 10 Pack, Baby Burp Cloths - Multi</t>
  </si>
  <si>
    <t xml:space="preserve">Absorbent muslin cloths. You will use these constantly.</t>
  </si>
  <si>
    <t xml:space="preserve">Nursing pillow</t>
  </si>
  <si>
    <t xml:space="preserve">Nursing Pillow and Positioner, Breastfeeding, Bottle Feeding</t>
  </si>
  <si>
    <t xml:space="preserve">Props the baby up for feeding so your arms and back don’t do all the work.</t>
  </si>
  <si>
    <t xml:space="preserve">The Boppy original is about $50 if you prefer the name brand.</t>
  </si>
  <si>
    <t xml:space="preserve">Nipple cream</t>
  </si>
  <si>
    <t xml:space="preserve">Lansinoh Lanolin Nipple Cream, 1.41 Ounces</t>
  </si>
  <si>
    <t xml:space="preserve">Soothes sore nipples in the first weeks of breastfeeding.</t>
  </si>
  <si>
    <t xml:space="preserve">Nursing pads</t>
  </si>
  <si>
    <t xml:space="preserve">100 ct</t>
  </si>
  <si>
    <t xml:space="preserve">Lansinoh Stay Dry Disposable Nursing Pads, 100 Count</t>
  </si>
  <si>
    <t xml:space="preserve">Disposable pads that catch leaks.</t>
  </si>
  <si>
    <t xml:space="preserve">Milk storage bags</t>
  </si>
  <si>
    <t xml:space="preserve">50 ct</t>
  </si>
  <si>
    <t xml:space="preserve">Lansinoh Breastmilk Storage Bags, 6 Ounce, 50 Count</t>
  </si>
  <si>
    <t xml:space="preserve">Freezer bags for pumped milk.</t>
  </si>
  <si>
    <t xml:space="preserve">Silicone milk catcher</t>
  </si>
  <si>
    <t xml:space="preserve">haakaa Manual Breast Pump for Breastfeeding 4oz/100ml</t>
  </si>
  <si>
    <t xml:space="preserve">Collects let-down milk from the other side while nursing.</t>
  </si>
  <si>
    <t xml:space="preserve">Pacifiers</t>
  </si>
  <si>
    <t xml:space="preserve">Philips Avent Soothie Baby Pacifier for 0-3 Months, BPA-Free, 4-Pack, Green</t>
  </si>
  <si>
    <t xml:space="preserve">The hospital-standard newborn pacifier.</t>
  </si>
  <si>
    <t xml:space="preserve">Diapering</t>
  </si>
  <si>
    <t xml:space="preserve">Newborn diapers</t>
  </si>
  <si>
    <t xml:space="preserve">84 ct</t>
  </si>
  <si>
    <t xml:space="preserve">Pampers Swaddlers Diapers, Size 0 (up to 10 lbs), 84 Count, Fragrance Free, Hypoallergenic, Absorbent, Pediatr</t>
  </si>
  <si>
    <t xml:space="preserve">Size 0, up to 10 lb.</t>
  </si>
  <si>
    <t xml:space="preserve">Buy one box only; most babies outgrow this size in weeks.</t>
  </si>
  <si>
    <t xml:space="preserve">Size 1 diapers</t>
  </si>
  <si>
    <t xml:space="preserve">198 ct</t>
  </si>
  <si>
    <t xml:space="preserve">Pampers Swaddlers Diapers, Size 1 (8-14 lbs), 198 Count, Fragrance Free, Hypoallergenic, Absorbent, Pediatrici</t>
  </si>
  <si>
    <t xml:space="preserve">Size 1, 8–14 lb. This is the size you’ll use most at first.</t>
  </si>
  <si>
    <t xml:space="preserve">Wipes</t>
  </si>
  <si>
    <t xml:space="preserve">720 ct</t>
  </si>
  <si>
    <t xml:space="preserve">WaterWipes Sensitive+ Newborn &amp; Baby Wipes, 3-In-1 Cleans, Cares, Protects, 99.9% Water, Unscented &amp; Hypoaller</t>
  </si>
  <si>
    <t xml:space="preserve">Gentle, unscented wipes, mostly water.</t>
  </si>
  <si>
    <t xml:space="preserve">Healing ointment</t>
  </si>
  <si>
    <t xml:space="preserve">7 oz</t>
  </si>
  <si>
    <t xml:space="preserve">Aquaphor Baby Advanced Therapy Healing Ointment Skin Protectant, 7 OZ</t>
  </si>
  <si>
    <t xml:space="preserve">Barrier ointment for diaper area and dry skin.</t>
  </si>
  <si>
    <t xml:space="preserve">Diaper rash cream</t>
  </si>
  <si>
    <t xml:space="preserve">4.8 oz</t>
  </si>
  <si>
    <t xml:space="preserve">Desitin Maximum Strength Diaper Rash Paste, 40% Zinc Oxide, 4.8 oz</t>
  </si>
  <si>
    <t xml:space="preserve">Thick zinc paste for when a rash does show up.</t>
  </si>
  <si>
    <t xml:space="preserve">Changing pad</t>
  </si>
  <si>
    <t xml:space="preserve">Serta Foam Contoured Changing Pad with Waterproof Cover</t>
  </si>
  <si>
    <t xml:space="preserve">Contoured foam pad with waterproof cover. Works on a dresser top.</t>
  </si>
  <si>
    <t xml:space="preserve">Changing pad covers</t>
  </si>
  <si>
    <t xml:space="preserve">Changing Pad Cover for Boys Girls, Soft Unisex Diaper Change Table Sheets</t>
  </si>
  <si>
    <t xml:space="preserve">Washable covers so you can swap after messes.</t>
  </si>
  <si>
    <t xml:space="preserve">Diaper pail</t>
  </si>
  <si>
    <t xml:space="preserve">Ubbi Stainless Steel Diaper Pail, No Special Bags, Odor-Locking, White</t>
  </si>
  <si>
    <t xml:space="preserve">Odor-sealing steel pail that takes regular trash bags.</t>
  </si>
  <si>
    <t xml:space="preserve">A small lidded trash can works too.</t>
  </si>
  <si>
    <t xml:space="preserve">Clothing</t>
  </si>
  <si>
    <t xml:space="preserve">Zip sleepers, 0–3 months</t>
  </si>
  <si>
    <t xml:space="preserve">3-pack × 2</t>
  </si>
  <si>
    <t xml:space="preserve">Simple Joys by Carter's Baby 3-Pack Neutral Sleep and Play</t>
  </si>
  <si>
    <t xml:space="preserve">Zip footie pajamas. Babies basically live in these.</t>
  </si>
  <si>
    <t xml:space="preserve">Zippers beat snaps at 3 a.m.</t>
  </si>
  <si>
    <t xml:space="preserve">Sleepers, newborn size</t>
  </si>
  <si>
    <t xml:space="preserve">Gerber Baby Girls 4-Pack Sleep 'N Play Footie</t>
  </si>
  <si>
    <t xml:space="preserve">A few newborn-size sleepers for the first weeks.</t>
  </si>
  <si>
    <t xml:space="preserve">Choose the color set you like on the listing.</t>
  </si>
  <si>
    <t xml:space="preserve">Bodysuits</t>
  </si>
  <si>
    <t xml:space="preserve">5-pack × 2</t>
  </si>
  <si>
    <t xml:space="preserve">Gerber Baby Boys &amp; Girls 5-Pack Solid Onesies Bodysuits</t>
  </si>
  <si>
    <t xml:space="preserve">Short-sleeve onesies for layering. Get 0–3 months.</t>
  </si>
  <si>
    <t xml:space="preserve">Socks</t>
  </si>
  <si>
    <t xml:space="preserve">6-pack</t>
  </si>
  <si>
    <t xml:space="preserve">Gerber Baby Boys &amp; Girls 6-Pack White Terry Socks</t>
  </si>
  <si>
    <t xml:space="preserve">Terry socks for outings and cool February nights.</t>
  </si>
  <si>
    <t xml:space="preserve">Newborn hats</t>
  </si>
  <si>
    <t xml:space="preserve">pack</t>
  </si>
  <si>
    <t xml:space="preserve">Bamery Cotton Baby Girl Hat Preemie Boys Beanie Newborn Hospital Hats Winter Infant Hats for Girls</t>
  </si>
  <si>
    <t xml:space="preserve">Soft cotton beanies for the first weeks.</t>
  </si>
  <si>
    <t xml:space="preserve">Scratch mittens</t>
  </si>
  <si>
    <t xml:space="preserve">RATIVE Baby Mittens No Scratch, Soft Cotton Newborn Gloves, (0-6 Months)</t>
  </si>
  <si>
    <t xml:space="preserve">Keeps sharp newborn nails off their face.</t>
  </si>
  <si>
    <t xml:space="preserve">Free &amp; clear detergent</t>
  </si>
  <si>
    <t xml:space="preserve">82.5 oz</t>
  </si>
  <si>
    <t xml:space="preserve">all free clear, Original, Liquid Laundry Detergent for Sensitive Skin, Unscented and Hypoallergenic, Concentra</t>
  </si>
  <si>
    <t xml:space="preserve">Unscented detergent for washing everything before baby arrives.</t>
  </si>
  <si>
    <t xml:space="preserve">Any free &amp; clear detergent works; no need for baby-specific soap.</t>
  </si>
  <si>
    <t xml:space="preserve">Bath &amp; care</t>
  </si>
  <si>
    <t xml:space="preserve">Baby bathtub</t>
  </si>
  <si>
    <t xml:space="preserve">Skip Hop Baby Bath Tub 4-in-1 Grow with Baby Infant to Toddler Bathtub with Supportive Sling and Sit-Up Suppor</t>
  </si>
  <si>
    <t xml:space="preserve">Infant tub with newborn sling that grows to a toddler tub.</t>
  </si>
  <si>
    <t xml:space="preserve">Sponge baths until the umbilical stump falls off.</t>
  </si>
  <si>
    <t xml:space="preserve">Baby wash + lotion</t>
  </si>
  <si>
    <t xml:space="preserve">2 ct</t>
  </si>
  <si>
    <t xml:space="preserve">Cetaphil Baby Wash &amp; Shampoo + Lotion, Sensitive Skin, 13.5oz, 2ct</t>
  </si>
  <si>
    <t xml:space="preserve">Gentle wash and shampoo plus a lotion for sensitive skin.</t>
  </si>
  <si>
    <t xml:space="preserve">Hooded towels</t>
  </si>
  <si>
    <t xml:space="preserve">SWEET DOLPHIN Muslin Hooded Baby Bath Towels - 2 Pack 100% Cotton Towel for Babies, Infants, Toddlers - 32x32I</t>
  </si>
  <si>
    <t xml:space="preserve">Soft muslin towels with a hood to keep the head warm.</t>
  </si>
  <si>
    <t xml:space="preserve">Washcloths</t>
  </si>
  <si>
    <t xml:space="preserve">12-pack</t>
  </si>
  <si>
    <t xml:space="preserve">Kyapoo Baby Washcloths 12 Pack 12x12 Inches Microfiber Coral Fleece Extra Absorbent and Soft for Newborns, Inf</t>
  </si>
  <si>
    <t xml:space="preserve">Extra-soft cloths for baths and cleanups.</t>
  </si>
  <si>
    <t xml:space="preserve">Electric nail file</t>
  </si>
  <si>
    <t xml:space="preserve">haakaa Electric Baby Nail File, LED Light Baby Nail Trimmer, Green</t>
  </si>
  <si>
    <t xml:space="preserve">Gentle file with a light; far less nerve-wracking than clippers.</t>
  </si>
  <si>
    <t xml:space="preserve">Health</t>
  </si>
  <si>
    <t xml:space="preserve">Rectal thermometer</t>
  </si>
  <si>
    <t xml:space="preserve">Frida Digital Rectal Thermometer for Babies, Newborns &amp; Infants</t>
  </si>
  <si>
    <t xml:space="preserve">The accurate way to take a newborn’s temperature.</t>
  </si>
  <si>
    <t xml:space="preserve">Call the doctor right away for 100.4°F or higher in babies under 3 months.</t>
  </si>
  <si>
    <t xml:space="preserve">Nasal aspirator</t>
  </si>
  <si>
    <t xml:space="preserve">Frida NoseFrida SnotSucker Nasal Aspirator for Baby, 4 Hygiene Filters</t>
  </si>
  <si>
    <t xml:space="preserve">Clears a stuffy nose so the baby can eat and sleep.</t>
  </si>
  <si>
    <t xml:space="preserve">Infant acetaminophen</t>
  </si>
  <si>
    <t xml:space="preserve">2 oz</t>
  </si>
  <si>
    <t xml:space="preserve">Amazon Basics Infants' Pain &amp; Fever, Acetaminophen 160 mg per 5 mL, Suspension Liquid, Dye-Free Cherry Flavor,</t>
  </si>
  <si>
    <t xml:space="preserve">Fever and pain relief for later on.</t>
  </si>
  <si>
    <t xml:space="preserve">Only with your pediatrician’s go-ahead and dosing. Not for newborns without a doctor’s OK.</t>
  </si>
  <si>
    <t xml:space="preserve">Gas relief tool</t>
  </si>
  <si>
    <t xml:space="preserve">10 ct</t>
  </si>
  <si>
    <t xml:space="preserve">Frida Baby Windi Gas Passer, Baby Gas Relief for Babies &amp; Infants, 10ct</t>
  </si>
  <si>
    <t xml:space="preserve">Single-use tubes that help a gassy baby.</t>
  </si>
  <si>
    <t xml:space="preserve">Play</t>
  </si>
  <si>
    <t xml:space="preserve">Bouncer seat</t>
  </si>
  <si>
    <t xml:space="preserve">Bright Starts Baby Bouncer Soothing Vibrations Infant Seat - Removable -Toy Bar, Nonslip Feet, 0-6 Months Up t</t>
  </si>
  <si>
    <t xml:space="preserve">Vibrating seat with toy bar. Somewhere safe to set the baby down.</t>
  </si>
  <si>
    <t xml:space="preserve">Play gym</t>
  </si>
  <si>
    <t xml:space="preserve">Fisher-Price Glow and Grow Kick &amp; Play Piano Gym, Blue</t>
  </si>
  <si>
    <t xml:space="preserve">Tummy-time mat with a kick piano and hanging toys.</t>
  </si>
  <si>
    <t xml:space="preserve">Usually used from about 1 month on.</t>
  </si>
  <si>
    <t xml:space="preserve">For mom</t>
  </si>
  <si>
    <t xml:space="preserve">Peri bottle</t>
  </si>
  <si>
    <t xml:space="preserve">Frida Upside Down Peri Bottle for Postpartum Care, Portable Bidet</t>
  </si>
  <si>
    <t xml:space="preserve">Angled squeeze bottle for postpartum care after a vaginal birth.</t>
  </si>
  <si>
    <t xml:space="preserve">Hospitals often give one; this angled one is nicer.</t>
  </si>
  <si>
    <t xml:space="preserve">Postpartum underwear</t>
  </si>
  <si>
    <t xml:space="preserve">8 pc</t>
  </si>
  <si>
    <t xml:space="preserve">Frida Mom 8pc Postpartum Underwear</t>
  </si>
  <si>
    <t xml:space="preserve">Disposable high-waist underwear for the first weeks.</t>
  </si>
  <si>
    <t xml:space="preserve">Ice maxi pads</t>
  </si>
  <si>
    <t xml:space="preserve">Frida 2-in-1 Postpartum Pads, Perineal Ice Maxi Pads &amp; Maternity Pad</t>
  </si>
  <si>
    <t xml:space="preserve">Cooling pad and maxi pad in one for postpartum swelling.</t>
  </si>
  <si>
    <t xml:space="preserve">Witch hazel cooling pads</t>
  </si>
  <si>
    <t xml:space="preserve">TUCKS Medicated Cooling Pads, Witch Hazel Hemorrhoid Treatment, 100 Count</t>
  </si>
  <si>
    <t xml:space="preserve">Soothing pads for postpartum soreness.</t>
  </si>
  <si>
    <t xml:space="preserve">Nursing sleep bra</t>
  </si>
  <si>
    <t xml:space="preserve">1–2</t>
  </si>
  <si>
    <t xml:space="preserve">Kindred Bravely French Terry Racerback Nursing &amp; Sleep Bra, Maternity Bra</t>
  </si>
  <si>
    <t xml:space="preserve">Soft pull-aside bra for nursing day and night.</t>
  </si>
  <si>
    <t xml:space="preserve">Wait until late pregnancy to pick a size.</t>
  </si>
  <si>
    <t xml:space="preserve">Big water tumbler</t>
  </si>
  <si>
    <t xml:space="preserve">Konokyo 40 oz Insulated Tumbler Water Bottle with Handle, Straw Lid</t>
  </si>
  <si>
    <t xml:space="preserve">40 oz insulated cup with handle and straw. Nursing makes you very thirsty.</t>
  </si>
  <si>
    <t xml:space="preserve">Hospital bag</t>
  </si>
  <si>
    <t xml:space="preserve">10 ft phone charging cable</t>
  </si>
  <si>
    <t xml:space="preserve">Anker USB C to USB C Cable, 100W Fast Charging Cable(1-Pack, 10 ft, Black)</t>
  </si>
  <si>
    <t xml:space="preserve">Hospital outlets are never near the bed.</t>
  </si>
  <si>
    <t xml:space="preserve">Check your phone uses USB-C.</t>
  </si>
  <si>
    <t xml:space="preserve">Going-home outfit for baby</t>
  </si>
  <si>
    <t xml:space="preserve">Use a newborn sleeper from Clothing</t>
  </si>
  <si>
    <t xml:space="preserve">One newborn and one 0–3 month outfit, since you won’t know the size yet.</t>
  </si>
  <si>
    <t xml:space="preserve">Comfy clothes for mom</t>
  </si>
  <si>
    <t xml:space="preserve">—</t>
  </si>
  <si>
    <t xml:space="preserve">From home: robe, slippers, loose going-home clothes, toiletries</t>
  </si>
  <si>
    <t xml:space="preserve">Pack by week 36.</t>
  </si>
  <si>
    <t xml:space="preserve">ID, insurance card, hospital forms</t>
  </si>
  <si>
    <t xml:space="preserve">Pre-register with the hospital before your due date</t>
  </si>
  <si>
    <t xml:space="preserve">Pre-registering saves paperwork when you arrive.</t>
  </si>
  <si>
    <t xml:space="preserve">Baby Arrival List</t>
  </si>
  <si>
    <t xml:space="preserve">Due February 2027. Totals update as you change Status and # to buy on the Shopping List tab.</t>
  </si>
  <si>
    <t xml:space="preserve">Still to buy</t>
  </si>
  <si>
    <t xml:space="preserve">Marked Want</t>
  </si>
  <si>
    <t xml:space="preserve">Already got</t>
  </si>
  <si>
    <t xml:space="preserve">Items</t>
  </si>
  <si>
    <t xml:space="preserve">Total</t>
  </si>
  <si>
    <t xml:space="preserve">How to use: on the Shopping List tab, set Status to Want, Got, or Skip, and change # to buy if needed (yellow cells). "Still to buy" leaves out Got and Skip items. Prices are from Amazon on Oct 9, 2026.</t>
  </si>
  <si>
    <t xml:space="preserve">Tips and money savers</t>
  </si>
  <si>
    <t xml:space="preserve">Amazon Baby Registry (private)</t>
  </si>
  <si>
    <t xml:space="preserve">Create a registry set to private and add these items. With Prime: a free welcome box (add 10 items and have $10 bought from it) and a 15% completion discount, up to $300, starting 60 days before the due date (about Dec 1). Source: amazon.com/baby-reg</t>
  </si>
  <si>
    <t xml:space="preserve">Breast pump through insurance</t>
  </si>
  <si>
    <t xml:space="preserve">Most plans must cover a breast pump. Services like Aeroflow (aeroflowbreastpumps.com) check coverage and ship one free. Start in December.</t>
  </si>
  <si>
    <t xml:space="preserve">Free car seat check</t>
  </si>
  <si>
    <t xml:space="preserve">Safe Kids Maricopa County runs free car seat checks. Install the seat by week 36 and have it checked.</t>
  </si>
  <si>
    <t xml:space="preserve">Newborn sizes</t>
  </si>
  <si>
    <t xml:space="preserve">Many babies outgrow newborn clothes and diapers in 2–4 weeks. Buy one pack of newborn diapers and focus on size 1 and 0–3 months.</t>
  </si>
  <si>
    <t xml:space="preserve">Hospital freebies</t>
  </si>
  <si>
    <t xml:space="preserve">Hospitals usually send you home with diapers, wipes, peri bottles, pads and mesh underwear. Take them.</t>
  </si>
  <si>
    <t xml:space="preserve">New vs used</t>
  </si>
  <si>
    <t xml:space="preserve">Buy car seats and crib mattresses new. Most other gear (bouncer, tub, clothes, play gym) is fine secondhand.</t>
  </si>
  <si>
    <t xml:space="preserve">February in Mesa</t>
  </si>
  <si>
    <t xml:space="preserve">Nights dip into the 40s. Use a sleep sack instead of loose blankets, and thin layers in the car seat, never a puffy coat under the straps.</t>
  </si>
  <si>
    <t xml:space="preserve">Safe sleep</t>
  </si>
  <si>
    <t xml:space="preserve">Baby sleeps on their back, alone, on a firm flat surface with only a fitted sheet. No bumpers, pillows, or loose blankets.</t>
  </si>
  <si>
    <t xml:space="preserve">Medicine</t>
  </si>
  <si>
    <t xml:space="preserve">Infant acetaminophen only with your pediatrician’s OK and dosing. A fever of 100.4°F or higher under 3 months old means calling the doctor right away.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</si>
</sst>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-$&quot;#,##0.00;&quot;Free&quot;"/>
    <numFmt numFmtId="166" formatCode="\$#,##0.00;&quot;-$&quot;#,##0.00;\-"/>
    <numFmt numFmtId="167" formatCode="#,##0"/>
    <numFmt numFmtId="168" formatCode="\$#,##0;&quot;-$&quot;#,##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C2622"/>
      <name val="Arial"/>
      <family val="0"/>
      <charset val="1"/>
    </font>
    <font>
      <b val="true"/>
      <sz val="10"/>
      <color rgb="FF1C2622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sz val="10"/>
      <name val="Arial"/>
      <family val="2"/>
    </font>
    <font>
      <b val="true"/>
      <sz val="16"/>
      <color rgb="FF2D6A5F"/>
      <name val="Arial"/>
      <family val="0"/>
      <charset val="1"/>
    </font>
    <font>
      <sz val="10"/>
      <color rgb="FF5D6B65"/>
      <name val="Arial"/>
      <family val="0"/>
      <charset val="1"/>
    </font>
    <font>
      <b val="true"/>
      <sz val="14"/>
      <color rgb="FF2D6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6A5F"/>
        <bgColor rgb="FF5D6B65"/>
      </patternFill>
    </fill>
    <fill>
      <patternFill patternType="solid">
        <fgColor rgb="FFFFF7CC"/>
        <bgColor rgb="FFFBF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D6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26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ont>
        <name val="Arial"/>
        <charset val="1"/>
        <family val="0"/>
        <color rgb="FF8A8F8C"/>
      </font>
      <fill>
        <patternFill>
          <bgColor rgb="FFE9ECEA"/>
        </patternFill>
      </fill>
    </dxf>
    <dxf>
      <fill>
        <patternFill>
          <bgColor rgb="FFDCEFE9"/>
        </patternFill>
      </fill>
    </dxf>
    <dxf>
      <fill>
        <patternFill>
          <bgColor rgb="FFFB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5F"/>
      <rgbColor rgb="FFC0C0C0"/>
      <rgbColor rgb="FF808080"/>
      <rgbColor rgb="FF9999FF"/>
      <rgbColor rgb="FF993366"/>
      <rgbColor rgb="FFFFF7CC"/>
      <rgbColor rgb="FFDCEFE9"/>
      <rgbColor rgb="FF660066"/>
      <rgbColor rgb="FFFF8080"/>
      <rgbColor rgb="FF1F5FA8"/>
      <rgbColor rgb="FFDD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A"/>
      <rgbColor rgb="FFCCFFCC"/>
      <rgbColor rgb="FFFBF0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65"/>
      <rgbColor rgb="FF8A8F8C"/>
      <rgbColor rgb="FF003366"/>
      <rgbColor rgb="FF339966"/>
      <rgbColor rgb="FF003300"/>
      <rgbColor rgb="FF333300"/>
      <rgbColor rgb="FF993300"/>
      <rgbColor rgb="FF993366"/>
      <rgbColor rgb="FF333399"/>
      <rgbColor rgb="FF1C26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mazon.com/dp/B0BT4LCFHT" TargetMode="External"/><Relationship Id="rId3" Type="http://schemas.openxmlformats.org/officeDocument/2006/relationships/hyperlink" Target="https://www.amazon.com/dp/B07MLW6ZSQ" TargetMode="External"/><Relationship Id="rId4" Type="http://schemas.openxmlformats.org/officeDocument/2006/relationships/hyperlink" Target="https://www.amazon.com/dp/B07F8HTSKD" TargetMode="External"/><Relationship Id="rId5" Type="http://schemas.openxmlformats.org/officeDocument/2006/relationships/hyperlink" Target="https://www.amazon.com/dp/B00WH7Y7TY" TargetMode="External"/><Relationship Id="rId6" Type="http://schemas.openxmlformats.org/officeDocument/2006/relationships/hyperlink" Target="https://www.amazon.com/dp/B0CYXTMMVS" TargetMode="External"/><Relationship Id="rId7" Type="http://schemas.openxmlformats.org/officeDocument/2006/relationships/hyperlink" Target="https://www.amazon.com/dp/B00M0DWQYI" TargetMode="External"/><Relationship Id="rId8" Type="http://schemas.openxmlformats.org/officeDocument/2006/relationships/hyperlink" Target="https://www.amazon.com/dp/B005SP2LWW" TargetMode="External"/><Relationship Id="rId9" Type="http://schemas.openxmlformats.org/officeDocument/2006/relationships/hyperlink" Target="https://www.amazon.com/dp/B08K3314ZL" TargetMode="External"/><Relationship Id="rId10" Type="http://schemas.openxmlformats.org/officeDocument/2006/relationships/hyperlink" Target="https://www.amazon.com/dp/B0D9781GDC" TargetMode="External"/><Relationship Id="rId11" Type="http://schemas.openxmlformats.org/officeDocument/2006/relationships/hyperlink" Target="https://www.amazon.com/dp/B001PB8G04" TargetMode="External"/><Relationship Id="rId12" Type="http://schemas.openxmlformats.org/officeDocument/2006/relationships/hyperlink" Target="https://www.amazon.com/dp/B08L6YRKPZ" TargetMode="External"/><Relationship Id="rId13" Type="http://schemas.openxmlformats.org/officeDocument/2006/relationships/hyperlink" Target="https://www.amazon.com/dp/B0FL4HPWHY" TargetMode="External"/><Relationship Id="rId14" Type="http://schemas.openxmlformats.org/officeDocument/2006/relationships/hyperlink" Target="https://www.amazon.com/dp/B0CJ9YX7DG" TargetMode="External"/><Relationship Id="rId15" Type="http://schemas.openxmlformats.org/officeDocument/2006/relationships/hyperlink" Target="https://www.amazon.com/dp/B0DDYXG796" TargetMode="External"/><Relationship Id="rId16" Type="http://schemas.openxmlformats.org/officeDocument/2006/relationships/hyperlink" Target="https://www.amazon.com/dp/B07Y3WQHZ6" TargetMode="External"/><Relationship Id="rId17" Type="http://schemas.openxmlformats.org/officeDocument/2006/relationships/hyperlink" Target="https://www.amazon.com/dp/B0FJM3CCBJ" TargetMode="External"/><Relationship Id="rId18" Type="http://schemas.openxmlformats.org/officeDocument/2006/relationships/hyperlink" Target="https://aeroflowbreastpumps.com/" TargetMode="External"/><Relationship Id="rId19" Type="http://schemas.openxmlformats.org/officeDocument/2006/relationships/hyperlink" Target="https://www.amazon.com/dp/B01845QGKK" TargetMode="External"/><Relationship Id="rId20" Type="http://schemas.openxmlformats.org/officeDocument/2006/relationships/hyperlink" Target="https://www.amazon.com/dp/B0FNS3G5KK" TargetMode="External"/><Relationship Id="rId21" Type="http://schemas.openxmlformats.org/officeDocument/2006/relationships/hyperlink" Target="https://www.amazon.com/dp/B004OR1DTC" TargetMode="External"/><Relationship Id="rId22" Type="http://schemas.openxmlformats.org/officeDocument/2006/relationships/hyperlink" Target="https://www.amazon.com/dp/B0CLPGQWNB" TargetMode="External"/><Relationship Id="rId23" Type="http://schemas.openxmlformats.org/officeDocument/2006/relationships/hyperlink" Target="https://www.amazon.com/dp/B09P1C3121" TargetMode="External"/><Relationship Id="rId24" Type="http://schemas.openxmlformats.org/officeDocument/2006/relationships/hyperlink" Target="https://www.amazon.com/dp/B005MI648C" TargetMode="External"/><Relationship Id="rId25" Type="http://schemas.openxmlformats.org/officeDocument/2006/relationships/hyperlink" Target="https://www.amazon.com/dp/B0070SKP1O" TargetMode="External"/><Relationship Id="rId26" Type="http://schemas.openxmlformats.org/officeDocument/2006/relationships/hyperlink" Target="https://www.amazon.com/dp/B00198I2WU" TargetMode="External"/><Relationship Id="rId27" Type="http://schemas.openxmlformats.org/officeDocument/2006/relationships/hyperlink" Target="https://www.amazon.com/dp/B07CWK4S5W" TargetMode="External"/><Relationship Id="rId28" Type="http://schemas.openxmlformats.org/officeDocument/2006/relationships/hyperlink" Target="https://www.amazon.com/dp/B07TDN9MKC" TargetMode="External"/><Relationship Id="rId29" Type="http://schemas.openxmlformats.org/officeDocument/2006/relationships/hyperlink" Target="https://www.amazon.com/dp/B07CVBTN3N" TargetMode="External"/><Relationship Id="rId30" Type="http://schemas.openxmlformats.org/officeDocument/2006/relationships/hyperlink" Target="https://www.amazon.com/dp/B07DCCP3Y1" TargetMode="External"/><Relationship Id="rId31" Type="http://schemas.openxmlformats.org/officeDocument/2006/relationships/hyperlink" Target="https://www.amazon.com/dp/B008KJEYLO" TargetMode="External"/><Relationship Id="rId32" Type="http://schemas.openxmlformats.org/officeDocument/2006/relationships/hyperlink" Target="https://www.amazon.com/dp/B0107QP1VE" TargetMode="External"/><Relationship Id="rId33" Type="http://schemas.openxmlformats.org/officeDocument/2006/relationships/hyperlink" Target="https://www.amazon.com/dp/B00ZQXT4EY" TargetMode="External"/><Relationship Id="rId34" Type="http://schemas.openxmlformats.org/officeDocument/2006/relationships/hyperlink" Target="https://www.amazon.com/dp/B08544GH5F" TargetMode="External"/><Relationship Id="rId35" Type="http://schemas.openxmlformats.org/officeDocument/2006/relationships/hyperlink" Target="https://www.amazon.com/dp/B09NPS467V" TargetMode="External"/><Relationship Id="rId36" Type="http://schemas.openxmlformats.org/officeDocument/2006/relationships/hyperlink" Target="https://www.amazon.com/dp/B00821FLT4" TargetMode="External"/><Relationship Id="rId37" Type="http://schemas.openxmlformats.org/officeDocument/2006/relationships/hyperlink" Target="https://www.amazon.com/dp/B075XR7S8V" TargetMode="External"/><Relationship Id="rId38" Type="http://schemas.openxmlformats.org/officeDocument/2006/relationships/hyperlink" Target="https://www.amazon.com/dp/B07GFTV58Z" TargetMode="External"/><Relationship Id="rId39" Type="http://schemas.openxmlformats.org/officeDocument/2006/relationships/hyperlink" Target="https://www.amazon.com/dp/B007CRR7WS" TargetMode="External"/><Relationship Id="rId40" Type="http://schemas.openxmlformats.org/officeDocument/2006/relationships/hyperlink" Target="https://www.amazon.com/dp/B007C4GHS6" TargetMode="External"/><Relationship Id="rId41" Type="http://schemas.openxmlformats.org/officeDocument/2006/relationships/hyperlink" Target="https://www.amazon.com/dp/B088LNP8Y9" TargetMode="External"/><Relationship Id="rId42" Type="http://schemas.openxmlformats.org/officeDocument/2006/relationships/hyperlink" Target="https://www.amazon.com/dp/B0CWGLZNNQ" TargetMode="External"/><Relationship Id="rId43" Type="http://schemas.openxmlformats.org/officeDocument/2006/relationships/hyperlink" Target="https://www.amazon.com/dp/B07GWW54HL" TargetMode="External"/><Relationship Id="rId44" Type="http://schemas.openxmlformats.org/officeDocument/2006/relationships/hyperlink" Target="https://www.amazon.com/dp/B0DJDQMHFT" TargetMode="External"/><Relationship Id="rId45" Type="http://schemas.openxmlformats.org/officeDocument/2006/relationships/hyperlink" Target="https://www.amazon.com/dp/B09RKNVYFT" TargetMode="External"/><Relationship Id="rId46" Type="http://schemas.openxmlformats.org/officeDocument/2006/relationships/hyperlink" Target="https://www.amazon.com/dp/B0D7QC1R35" TargetMode="External"/><Relationship Id="rId47" Type="http://schemas.openxmlformats.org/officeDocument/2006/relationships/hyperlink" Target="https://www.amazon.com/dp/B07KF8FJPV" TargetMode="External"/><Relationship Id="rId48" Type="http://schemas.openxmlformats.org/officeDocument/2006/relationships/hyperlink" Target="https://www.amazon.com/dp/B0CN12H8W4" TargetMode="External"/><Relationship Id="rId49" Type="http://schemas.openxmlformats.org/officeDocument/2006/relationships/hyperlink" Target="https://www.amazon.com/dp/B0823DXJS9" TargetMode="External"/><Relationship Id="rId50" Type="http://schemas.openxmlformats.org/officeDocument/2006/relationships/hyperlink" Target="https://www.amazon.com/dp/B00171WXII" TargetMode="External"/><Relationship Id="rId51" Type="http://schemas.openxmlformats.org/officeDocument/2006/relationships/hyperlink" Target="https://www.amazon.com/dp/B087D2J89J" TargetMode="External"/><Relationship Id="rId52" Type="http://schemas.openxmlformats.org/officeDocument/2006/relationships/hyperlink" Target="https://www.amazon.com/dp/B007RAGALO" TargetMode="External"/><Relationship Id="rId53" Type="http://schemas.openxmlformats.org/officeDocument/2006/relationships/hyperlink" Target="https://www.amazon.com/dp/B07R2Y3YLC" TargetMode="External"/><Relationship Id="rId54" Type="http://schemas.openxmlformats.org/officeDocument/2006/relationships/hyperlink" Target="https://www.amazon.com/dp/B0CBQRXNVW" TargetMode="External"/><Relationship Id="rId55" Type="http://schemas.openxmlformats.org/officeDocument/2006/relationships/hyperlink" Target="https://www.amazon.com/dp/B07TXLZ8MR" TargetMode="External"/><Relationship Id="rId56" Type="http://schemas.openxmlformats.org/officeDocument/2006/relationships/hyperlink" Target="https://www.amazon.com/dp/B07THFQS6Y" TargetMode="External"/><Relationship Id="rId57" Type="http://schemas.openxmlformats.org/officeDocument/2006/relationships/hyperlink" Target="https://www.amazon.com/dp/B07THDP4KZ" TargetMode="External"/><Relationship Id="rId58" Type="http://schemas.openxmlformats.org/officeDocument/2006/relationships/hyperlink" Target="https://www.amazon.com/dp/B06ZYLFV8L" TargetMode="External"/><Relationship Id="rId59" Type="http://schemas.openxmlformats.org/officeDocument/2006/relationships/hyperlink" Target="https://www.amazon.com/dp/B0D146T2PF" TargetMode="External"/><Relationship Id="rId60" Type="http://schemas.openxmlformats.org/officeDocument/2006/relationships/hyperlink" Target="https://www.amazon.com/dp/B0CP7PPVWB" TargetMode="External"/><Relationship Id="rId61" Type="http://schemas.openxmlformats.org/officeDocument/2006/relationships/hyperlink" Target="https://www.amazon.com/dp/B08PVPTNZL" TargetMode="External"/><Relationship Id="rId62" Type="http://schemas.openxmlformats.org/officeDocument/2006/relationships/drawing" Target="../drawings/drawing1.xml"/><Relationship Id="rId6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48"/>
    <col collapsed="false" customWidth="true" hidden="false" outlineLevel="0" max="14" min="14" style="0" width="44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3" t="s">
        <v>16</v>
      </c>
      <c r="C2" s="2" t="s">
        <v>17</v>
      </c>
      <c r="D2" s="2" t="s">
        <v>18</v>
      </c>
      <c r="E2" s="4" t="n">
        <v>1</v>
      </c>
      <c r="F2" s="5" t="n">
        <v>143.99</v>
      </c>
      <c r="G2" s="6" t="n">
        <f aca="false">IF(F2="","",E2*F2)</f>
        <v>143.99</v>
      </c>
      <c r="H2" s="4" t="s">
        <v>19</v>
      </c>
      <c r="I2" s="7" t="s">
        <v>20</v>
      </c>
      <c r="J2" s="8" t="s">
        <v>21</v>
      </c>
      <c r="K2" s="2" t="n">
        <v>4.6</v>
      </c>
      <c r="L2" s="9" t="n">
        <v>1500</v>
      </c>
      <c r="M2" s="7" t="s">
        <v>22</v>
      </c>
      <c r="N2" s="7" t="s">
        <v>23</v>
      </c>
      <c r="O2" s="10"/>
    </row>
    <row r="3" customFormat="false" ht="23.85" hidden="false" customHeight="false" outlineLevel="0" collapsed="false">
      <c r="A3" s="2" t="s">
        <v>15</v>
      </c>
      <c r="B3" s="3" t="s">
        <v>24</v>
      </c>
      <c r="C3" s="2" t="s">
        <v>25</v>
      </c>
      <c r="D3" s="2" t="s">
        <v>18</v>
      </c>
      <c r="E3" s="4" t="n">
        <v>1</v>
      </c>
      <c r="F3" s="5" t="n">
        <v>209.99</v>
      </c>
      <c r="G3" s="6" t="n">
        <f aca="false">IF(F3="","",E3*F3)</f>
        <v>209.99</v>
      </c>
      <c r="H3" s="4" t="s">
        <v>19</v>
      </c>
      <c r="I3" s="7" t="s">
        <v>26</v>
      </c>
      <c r="J3" s="8" t="s">
        <v>21</v>
      </c>
      <c r="K3" s="2" t="n">
        <v>4.8</v>
      </c>
      <c r="L3" s="9" t="n">
        <v>890</v>
      </c>
      <c r="M3" s="7" t="s">
        <v>27</v>
      </c>
      <c r="N3" s="7" t="s">
        <v>28</v>
      </c>
      <c r="O3" s="10"/>
    </row>
    <row r="4" customFormat="false" ht="23.85" hidden="false" customHeight="false" outlineLevel="0" collapsed="false">
      <c r="A4" s="2" t="s">
        <v>15</v>
      </c>
      <c r="B4" s="3" t="s">
        <v>29</v>
      </c>
      <c r="C4" s="2" t="s">
        <v>17</v>
      </c>
      <c r="D4" s="2" t="s">
        <v>18</v>
      </c>
      <c r="E4" s="4" t="n">
        <v>1</v>
      </c>
      <c r="F4" s="5" t="n">
        <v>17.59</v>
      </c>
      <c r="G4" s="6" t="n">
        <f aca="false">IF(F4="","",E4*F4)</f>
        <v>17.59</v>
      </c>
      <c r="H4" s="4" t="s">
        <v>19</v>
      </c>
      <c r="I4" s="7" t="s">
        <v>30</v>
      </c>
      <c r="J4" s="8" t="s">
        <v>21</v>
      </c>
      <c r="K4" s="2" t="n">
        <v>4.7</v>
      </c>
      <c r="L4" s="9" t="n">
        <v>31432</v>
      </c>
      <c r="M4" s="7" t="s">
        <v>31</v>
      </c>
      <c r="N4" s="7"/>
      <c r="O4" s="10"/>
    </row>
    <row r="5" customFormat="false" ht="15" hidden="false" customHeight="false" outlineLevel="0" collapsed="false">
      <c r="A5" s="2" t="s">
        <v>15</v>
      </c>
      <c r="B5" s="3" t="s">
        <v>32</v>
      </c>
      <c r="C5" s="2" t="s">
        <v>17</v>
      </c>
      <c r="D5" s="2" t="s">
        <v>33</v>
      </c>
      <c r="E5" s="4" t="n">
        <v>1</v>
      </c>
      <c r="F5" s="5" t="n">
        <v>11.99</v>
      </c>
      <c r="G5" s="6" t="n">
        <f aca="false">IF(F5="","",E5*F5)</f>
        <v>11.99</v>
      </c>
      <c r="H5" s="4" t="s">
        <v>19</v>
      </c>
      <c r="I5" s="7" t="s">
        <v>34</v>
      </c>
      <c r="J5" s="8" t="s">
        <v>21</v>
      </c>
      <c r="K5" s="2" t="n">
        <v>4.3</v>
      </c>
      <c r="L5" s="9" t="n">
        <v>13836</v>
      </c>
      <c r="M5" s="7" t="s">
        <v>35</v>
      </c>
      <c r="N5" s="7"/>
      <c r="O5" s="10"/>
    </row>
    <row r="6" customFormat="false" ht="23.85" hidden="false" customHeight="false" outlineLevel="0" collapsed="false">
      <c r="A6" s="2" t="s">
        <v>15</v>
      </c>
      <c r="B6" s="3" t="s">
        <v>36</v>
      </c>
      <c r="C6" s="2" t="s">
        <v>17</v>
      </c>
      <c r="D6" s="2" t="s">
        <v>18</v>
      </c>
      <c r="E6" s="4" t="n">
        <v>1</v>
      </c>
      <c r="F6" s="5" t="n">
        <v>60.99</v>
      </c>
      <c r="G6" s="6" t="n">
        <f aca="false">IF(F6="","",E6*F6)</f>
        <v>60.99</v>
      </c>
      <c r="H6" s="4" t="s">
        <v>19</v>
      </c>
      <c r="I6" s="7" t="s">
        <v>37</v>
      </c>
      <c r="J6" s="8" t="s">
        <v>21</v>
      </c>
      <c r="K6" s="2" t="n">
        <v>4.8</v>
      </c>
      <c r="L6" s="9" t="n">
        <v>12831</v>
      </c>
      <c r="M6" s="7" t="s">
        <v>38</v>
      </c>
      <c r="N6" s="7" t="s">
        <v>39</v>
      </c>
      <c r="O6" s="10"/>
    </row>
    <row r="7" customFormat="false" ht="23.85" hidden="false" customHeight="false" outlineLevel="0" collapsed="false">
      <c r="A7" s="2" t="s">
        <v>15</v>
      </c>
      <c r="B7" s="3" t="s">
        <v>40</v>
      </c>
      <c r="C7" s="2" t="s">
        <v>41</v>
      </c>
      <c r="D7" s="2" t="s">
        <v>18</v>
      </c>
      <c r="E7" s="4" t="n">
        <v>1</v>
      </c>
      <c r="F7" s="5" t="n">
        <v>28.89</v>
      </c>
      <c r="G7" s="6" t="n">
        <f aca="false">IF(F7="","",E7*F7)</f>
        <v>28.89</v>
      </c>
      <c r="H7" s="4" t="s">
        <v>19</v>
      </c>
      <c r="I7" s="7" t="s">
        <v>42</v>
      </c>
      <c r="J7" s="8" t="s">
        <v>21</v>
      </c>
      <c r="K7" s="2" t="n">
        <v>4.6</v>
      </c>
      <c r="L7" s="9" t="n">
        <v>83603</v>
      </c>
      <c r="M7" s="7" t="s">
        <v>43</v>
      </c>
      <c r="N7" s="7"/>
      <c r="O7" s="10"/>
    </row>
    <row r="8" customFormat="false" ht="15" hidden="false" customHeight="false" outlineLevel="0" collapsed="false">
      <c r="A8" s="2" t="s">
        <v>15</v>
      </c>
      <c r="B8" s="3" t="s">
        <v>44</v>
      </c>
      <c r="C8" s="2" t="s">
        <v>25</v>
      </c>
      <c r="D8" s="2" t="s">
        <v>18</v>
      </c>
      <c r="E8" s="4" t="n">
        <v>1</v>
      </c>
      <c r="F8" s="5" t="n">
        <v>39.99</v>
      </c>
      <c r="G8" s="6" t="n">
        <f aca="false">IF(F8="","",E8*F8)</f>
        <v>39.99</v>
      </c>
      <c r="H8" s="4" t="s">
        <v>19</v>
      </c>
      <c r="I8" s="7" t="s">
        <v>45</v>
      </c>
      <c r="J8" s="8" t="s">
        <v>21</v>
      </c>
      <c r="K8" s="2" t="n">
        <v>4.6</v>
      </c>
      <c r="L8" s="9" t="n">
        <v>28838</v>
      </c>
      <c r="M8" s="7" t="s">
        <v>46</v>
      </c>
      <c r="N8" s="7" t="s">
        <v>47</v>
      </c>
      <c r="O8" s="10"/>
    </row>
    <row r="9" customFormat="false" ht="23.85" hidden="false" customHeight="false" outlineLevel="0" collapsed="false">
      <c r="A9" s="2" t="s">
        <v>48</v>
      </c>
      <c r="B9" s="3" t="s">
        <v>49</v>
      </c>
      <c r="C9" s="2" t="s">
        <v>17</v>
      </c>
      <c r="D9" s="2" t="s">
        <v>18</v>
      </c>
      <c r="E9" s="4" t="n">
        <v>1</v>
      </c>
      <c r="F9" s="5" t="n">
        <v>199.99</v>
      </c>
      <c r="G9" s="6" t="n">
        <f aca="false">IF(F9="","",E9*F9)</f>
        <v>199.99</v>
      </c>
      <c r="H9" s="4" t="s">
        <v>19</v>
      </c>
      <c r="I9" s="7" t="s">
        <v>50</v>
      </c>
      <c r="J9" s="8" t="s">
        <v>21</v>
      </c>
      <c r="K9" s="2" t="n">
        <v>4.8</v>
      </c>
      <c r="L9" s="9" t="n">
        <v>2595</v>
      </c>
      <c r="M9" s="7" t="s">
        <v>51</v>
      </c>
      <c r="N9" s="7" t="s">
        <v>52</v>
      </c>
      <c r="O9" s="10"/>
    </row>
    <row r="10" customFormat="false" ht="23.85" hidden="false" customHeight="false" outlineLevel="0" collapsed="false">
      <c r="A10" s="2" t="s">
        <v>48</v>
      </c>
      <c r="B10" s="3" t="s">
        <v>53</v>
      </c>
      <c r="C10" s="2" t="s">
        <v>17</v>
      </c>
      <c r="D10" s="2" t="s">
        <v>54</v>
      </c>
      <c r="E10" s="4" t="n">
        <v>2</v>
      </c>
      <c r="F10" s="5" t="n">
        <v>9.99</v>
      </c>
      <c r="G10" s="6" t="n">
        <f aca="false">IF(F10="","",E10*F10)</f>
        <v>19.98</v>
      </c>
      <c r="H10" s="4" t="s">
        <v>19</v>
      </c>
      <c r="I10" s="7" t="s">
        <v>55</v>
      </c>
      <c r="J10" s="8" t="s">
        <v>21</v>
      </c>
      <c r="K10" s="2" t="n">
        <v>4.9</v>
      </c>
      <c r="L10" s="9" t="n">
        <v>3426</v>
      </c>
      <c r="M10" s="7" t="s">
        <v>56</v>
      </c>
      <c r="N10" s="7"/>
      <c r="O10" s="10"/>
    </row>
    <row r="11" customFormat="false" ht="23.85" hidden="false" customHeight="false" outlineLevel="0" collapsed="false">
      <c r="A11" s="2" t="s">
        <v>48</v>
      </c>
      <c r="B11" s="3" t="s">
        <v>57</v>
      </c>
      <c r="C11" s="2" t="s">
        <v>17</v>
      </c>
      <c r="D11" s="2" t="s">
        <v>58</v>
      </c>
      <c r="E11" s="4" t="n">
        <v>2</v>
      </c>
      <c r="F11" s="5" t="n">
        <v>34.95</v>
      </c>
      <c r="G11" s="6" t="n">
        <f aca="false">IF(F11="","",E11*F11)</f>
        <v>69.9</v>
      </c>
      <c r="H11" s="4" t="s">
        <v>19</v>
      </c>
      <c r="I11" s="7" t="s">
        <v>59</v>
      </c>
      <c r="J11" s="8" t="s">
        <v>21</v>
      </c>
      <c r="K11" s="2" t="n">
        <v>4.6</v>
      </c>
      <c r="L11" s="9" t="n">
        <v>24970</v>
      </c>
      <c r="M11" s="7" t="s">
        <v>60</v>
      </c>
      <c r="N11" s="7" t="s">
        <v>61</v>
      </c>
      <c r="O11" s="10"/>
    </row>
    <row r="12" customFormat="false" ht="23.85" hidden="false" customHeight="false" outlineLevel="0" collapsed="false">
      <c r="A12" s="2" t="s">
        <v>48</v>
      </c>
      <c r="B12" s="3" t="s">
        <v>62</v>
      </c>
      <c r="C12" s="2" t="s">
        <v>41</v>
      </c>
      <c r="D12" s="2" t="s">
        <v>63</v>
      </c>
      <c r="E12" s="4" t="n">
        <v>1</v>
      </c>
      <c r="F12" s="5" t="n">
        <v>39.95</v>
      </c>
      <c r="G12" s="6" t="n">
        <f aca="false">IF(F12="","",E12*F12)</f>
        <v>39.95</v>
      </c>
      <c r="H12" s="4" t="s">
        <v>19</v>
      </c>
      <c r="I12" s="7" t="s">
        <v>64</v>
      </c>
      <c r="J12" s="8" t="s">
        <v>21</v>
      </c>
      <c r="K12" s="2" t="n">
        <v>4.8</v>
      </c>
      <c r="L12" s="9" t="n">
        <v>6349</v>
      </c>
      <c r="M12" s="7" t="s">
        <v>65</v>
      </c>
      <c r="N12" s="7"/>
      <c r="O12" s="10"/>
    </row>
    <row r="13" customFormat="false" ht="15" hidden="false" customHeight="false" outlineLevel="0" collapsed="false">
      <c r="A13" s="2" t="s">
        <v>48</v>
      </c>
      <c r="B13" s="3" t="s">
        <v>66</v>
      </c>
      <c r="C13" s="2" t="s">
        <v>41</v>
      </c>
      <c r="D13" s="2" t="s">
        <v>18</v>
      </c>
      <c r="E13" s="4" t="n">
        <v>1</v>
      </c>
      <c r="F13" s="5" t="n">
        <v>79.99</v>
      </c>
      <c r="G13" s="6" t="n">
        <f aca="false">IF(F13="","",E13*F13)</f>
        <v>79.99</v>
      </c>
      <c r="H13" s="4" t="s">
        <v>19</v>
      </c>
      <c r="I13" s="7" t="s">
        <v>67</v>
      </c>
      <c r="J13" s="8" t="s">
        <v>21</v>
      </c>
      <c r="K13" s="2" t="n">
        <v>4.7</v>
      </c>
      <c r="L13" s="9" t="n">
        <v>36538</v>
      </c>
      <c r="M13" s="7" t="s">
        <v>68</v>
      </c>
      <c r="N13" s="7"/>
      <c r="O13" s="10"/>
    </row>
    <row r="14" customFormat="false" ht="23.85" hidden="false" customHeight="false" outlineLevel="0" collapsed="false">
      <c r="A14" s="2" t="s">
        <v>48</v>
      </c>
      <c r="B14" s="3" t="s">
        <v>69</v>
      </c>
      <c r="C14" s="2" t="s">
        <v>25</v>
      </c>
      <c r="D14" s="2" t="s">
        <v>18</v>
      </c>
      <c r="E14" s="4" t="n">
        <v>0</v>
      </c>
      <c r="F14" s="5" t="n">
        <v>44.97</v>
      </c>
      <c r="G14" s="6" t="n">
        <f aca="false">IF(F14="","",E14*F14)</f>
        <v>0</v>
      </c>
      <c r="H14" s="4" t="s">
        <v>19</v>
      </c>
      <c r="I14" s="7" t="s">
        <v>70</v>
      </c>
      <c r="J14" s="8" t="s">
        <v>21</v>
      </c>
      <c r="K14" s="2" t="n">
        <v>4.3</v>
      </c>
      <c r="L14" s="9" t="n">
        <v>11426</v>
      </c>
      <c r="M14" s="7" t="s">
        <v>71</v>
      </c>
      <c r="N14" s="7" t="s">
        <v>72</v>
      </c>
      <c r="O14" s="10"/>
    </row>
    <row r="15" customFormat="false" ht="23.85" hidden="false" customHeight="false" outlineLevel="0" collapsed="false">
      <c r="A15" s="2" t="s">
        <v>48</v>
      </c>
      <c r="B15" s="3" t="s">
        <v>73</v>
      </c>
      <c r="C15" s="2" t="s">
        <v>74</v>
      </c>
      <c r="D15" s="2" t="s">
        <v>58</v>
      </c>
      <c r="E15" s="4" t="n">
        <v>2</v>
      </c>
      <c r="F15" s="5" t="n">
        <v>34.95</v>
      </c>
      <c r="G15" s="6" t="n">
        <f aca="false">IF(F15="","",E15*F15)</f>
        <v>69.9</v>
      </c>
      <c r="H15" s="4" t="s">
        <v>19</v>
      </c>
      <c r="I15" s="7" t="s">
        <v>75</v>
      </c>
      <c r="J15" s="8" t="s">
        <v>21</v>
      </c>
      <c r="K15" s="2" t="n">
        <v>4.8</v>
      </c>
      <c r="L15" s="9" t="n">
        <v>23503</v>
      </c>
      <c r="M15" s="7" t="s">
        <v>76</v>
      </c>
      <c r="N15" s="7"/>
      <c r="O15" s="10"/>
    </row>
    <row r="16" customFormat="false" ht="23.85" hidden="false" customHeight="false" outlineLevel="0" collapsed="false">
      <c r="A16" s="2" t="s">
        <v>48</v>
      </c>
      <c r="B16" s="3" t="s">
        <v>77</v>
      </c>
      <c r="C16" s="2" t="s">
        <v>74</v>
      </c>
      <c r="D16" s="2" t="s">
        <v>18</v>
      </c>
      <c r="E16" s="4" t="n">
        <v>1</v>
      </c>
      <c r="F16" s="5" t="n">
        <v>176.52</v>
      </c>
      <c r="G16" s="6" t="n">
        <f aca="false">IF(F16="","",E16*F16)</f>
        <v>176.52</v>
      </c>
      <c r="H16" s="4" t="s">
        <v>19</v>
      </c>
      <c r="I16" s="7" t="s">
        <v>78</v>
      </c>
      <c r="J16" s="8" t="s">
        <v>21</v>
      </c>
      <c r="K16" s="2" t="n">
        <v>4.7</v>
      </c>
      <c r="L16" s="9" t="n">
        <v>4512</v>
      </c>
      <c r="M16" s="7" t="s">
        <v>79</v>
      </c>
      <c r="N16" s="7" t="s">
        <v>80</v>
      </c>
      <c r="O16" s="10"/>
    </row>
    <row r="17" customFormat="false" ht="23.85" hidden="false" customHeight="false" outlineLevel="0" collapsed="false">
      <c r="A17" s="2" t="s">
        <v>48</v>
      </c>
      <c r="B17" s="3" t="s">
        <v>81</v>
      </c>
      <c r="C17" s="2" t="s">
        <v>74</v>
      </c>
      <c r="D17" s="2" t="s">
        <v>18</v>
      </c>
      <c r="E17" s="4" t="n">
        <v>1</v>
      </c>
      <c r="F17" s="5" t="n">
        <v>52</v>
      </c>
      <c r="G17" s="6" t="n">
        <f aca="false">IF(F17="","",E17*F17)</f>
        <v>52</v>
      </c>
      <c r="H17" s="4" t="s">
        <v>19</v>
      </c>
      <c r="I17" s="7" t="s">
        <v>82</v>
      </c>
      <c r="J17" s="8" t="s">
        <v>21</v>
      </c>
      <c r="K17" s="2" t="n">
        <v>4.6</v>
      </c>
      <c r="L17" s="9" t="n">
        <v>8822</v>
      </c>
      <c r="M17" s="7" t="s">
        <v>83</v>
      </c>
      <c r="N17" s="7" t="s">
        <v>84</v>
      </c>
      <c r="O17" s="10"/>
    </row>
    <row r="18" customFormat="false" ht="15" hidden="false" customHeight="false" outlineLevel="0" collapsed="false">
      <c r="A18" s="2" t="s">
        <v>85</v>
      </c>
      <c r="B18" s="3" t="s">
        <v>86</v>
      </c>
      <c r="C18" s="2" t="s">
        <v>17</v>
      </c>
      <c r="D18" s="2" t="s">
        <v>18</v>
      </c>
      <c r="E18" s="4" t="n">
        <v>1</v>
      </c>
      <c r="F18" s="5" t="n">
        <v>0</v>
      </c>
      <c r="G18" s="6" t="n">
        <f aca="false">IF(F18="","",E18*F18)</f>
        <v>0</v>
      </c>
      <c r="H18" s="4" t="s">
        <v>19</v>
      </c>
      <c r="I18" s="7" t="s">
        <v>87</v>
      </c>
      <c r="J18" s="8" t="s">
        <v>21</v>
      </c>
      <c r="K18" s="2"/>
      <c r="L18" s="9"/>
      <c r="M18" s="7" t="s">
        <v>88</v>
      </c>
      <c r="N18" s="7" t="s">
        <v>89</v>
      </c>
      <c r="O18" s="10"/>
    </row>
    <row r="19" customFormat="false" ht="23.85" hidden="false" customHeight="false" outlineLevel="0" collapsed="false">
      <c r="A19" s="2" t="s">
        <v>85</v>
      </c>
      <c r="B19" s="3" t="s">
        <v>90</v>
      </c>
      <c r="C19" s="2" t="s">
        <v>17</v>
      </c>
      <c r="D19" s="2" t="s">
        <v>63</v>
      </c>
      <c r="E19" s="4" t="n">
        <v>1</v>
      </c>
      <c r="F19" s="5" t="n">
        <v>24.49</v>
      </c>
      <c r="G19" s="6" t="n">
        <f aca="false">IF(F19="","",E19*F19)</f>
        <v>24.49</v>
      </c>
      <c r="H19" s="4" t="s">
        <v>19</v>
      </c>
      <c r="I19" s="7" t="s">
        <v>91</v>
      </c>
      <c r="J19" s="8" t="s">
        <v>21</v>
      </c>
      <c r="K19" s="2" t="n">
        <v>4.7</v>
      </c>
      <c r="L19" s="9" t="n">
        <v>53509</v>
      </c>
      <c r="M19" s="7" t="s">
        <v>92</v>
      </c>
      <c r="N19" s="7" t="s">
        <v>93</v>
      </c>
      <c r="O19" s="10"/>
    </row>
    <row r="20" customFormat="false" ht="23.85" hidden="false" customHeight="false" outlineLevel="0" collapsed="false">
      <c r="A20" s="2" t="s">
        <v>85</v>
      </c>
      <c r="B20" s="3" t="s">
        <v>94</v>
      </c>
      <c r="C20" s="2" t="s">
        <v>17</v>
      </c>
      <c r="D20" s="2" t="s">
        <v>18</v>
      </c>
      <c r="E20" s="4" t="n">
        <v>1</v>
      </c>
      <c r="F20" s="5" t="n">
        <v>9.99</v>
      </c>
      <c r="G20" s="6" t="n">
        <f aca="false">IF(F20="","",E20*F20)</f>
        <v>9.99</v>
      </c>
      <c r="H20" s="4" t="s">
        <v>19</v>
      </c>
      <c r="I20" s="7" t="s">
        <v>95</v>
      </c>
      <c r="J20" s="8" t="s">
        <v>21</v>
      </c>
      <c r="K20" s="2" t="n">
        <v>4.8</v>
      </c>
      <c r="L20" s="9" t="n">
        <v>37210</v>
      </c>
      <c r="M20" s="7" t="s">
        <v>96</v>
      </c>
      <c r="N20" s="7"/>
      <c r="O20" s="10"/>
    </row>
    <row r="21" customFormat="false" ht="23.85" hidden="false" customHeight="false" outlineLevel="0" collapsed="false">
      <c r="A21" s="2" t="s">
        <v>85</v>
      </c>
      <c r="B21" s="3" t="s">
        <v>97</v>
      </c>
      <c r="C21" s="2" t="s">
        <v>41</v>
      </c>
      <c r="D21" s="2" t="s">
        <v>18</v>
      </c>
      <c r="E21" s="4" t="n">
        <v>1</v>
      </c>
      <c r="F21" s="5" t="n">
        <v>21.99</v>
      </c>
      <c r="G21" s="6" t="n">
        <f aca="false">IF(F21="","",E21*F21)</f>
        <v>21.99</v>
      </c>
      <c r="H21" s="4" t="s">
        <v>19</v>
      </c>
      <c r="I21" s="7" t="s">
        <v>98</v>
      </c>
      <c r="J21" s="8" t="s">
        <v>21</v>
      </c>
      <c r="K21" s="2" t="n">
        <v>4.8</v>
      </c>
      <c r="L21" s="9" t="n">
        <v>13942</v>
      </c>
      <c r="M21" s="7" t="s">
        <v>99</v>
      </c>
      <c r="N21" s="7"/>
      <c r="O21" s="10"/>
    </row>
    <row r="22" customFormat="false" ht="23.85" hidden="false" customHeight="false" outlineLevel="0" collapsed="false">
      <c r="A22" s="2" t="s">
        <v>85</v>
      </c>
      <c r="B22" s="3" t="s">
        <v>100</v>
      </c>
      <c r="C22" s="2" t="s">
        <v>17</v>
      </c>
      <c r="D22" s="2" t="s">
        <v>101</v>
      </c>
      <c r="E22" s="4" t="n">
        <v>1</v>
      </c>
      <c r="F22" s="5" t="n">
        <v>19.99</v>
      </c>
      <c r="G22" s="6" t="n">
        <f aca="false">IF(F22="","",E22*F22)</f>
        <v>19.99</v>
      </c>
      <c r="H22" s="4" t="s">
        <v>19</v>
      </c>
      <c r="I22" s="7" t="s">
        <v>102</v>
      </c>
      <c r="J22" s="8" t="s">
        <v>21</v>
      </c>
      <c r="K22" s="2" t="n">
        <v>4.8</v>
      </c>
      <c r="L22" s="9" t="n">
        <v>41137</v>
      </c>
      <c r="M22" s="7" t="s">
        <v>103</v>
      </c>
      <c r="N22" s="7"/>
      <c r="O22" s="10"/>
    </row>
    <row r="23" customFormat="false" ht="15" hidden="false" customHeight="false" outlineLevel="0" collapsed="false">
      <c r="A23" s="2" t="s">
        <v>85</v>
      </c>
      <c r="B23" s="3" t="s">
        <v>104</v>
      </c>
      <c r="C23" s="2" t="s">
        <v>41</v>
      </c>
      <c r="D23" s="2" t="s">
        <v>18</v>
      </c>
      <c r="E23" s="4" t="n">
        <v>1</v>
      </c>
      <c r="F23" s="5" t="n">
        <v>22.99</v>
      </c>
      <c r="G23" s="6" t="n">
        <f aca="false">IF(F23="","",E23*F23)</f>
        <v>22.99</v>
      </c>
      <c r="H23" s="4" t="s">
        <v>19</v>
      </c>
      <c r="I23" s="7" t="s">
        <v>105</v>
      </c>
      <c r="J23" s="8" t="s">
        <v>21</v>
      </c>
      <c r="K23" s="2" t="n">
        <v>4.6</v>
      </c>
      <c r="L23" s="9" t="n">
        <v>1352</v>
      </c>
      <c r="M23" s="7" t="s">
        <v>106</v>
      </c>
      <c r="N23" s="7" t="s">
        <v>107</v>
      </c>
      <c r="O23" s="10"/>
    </row>
    <row r="24" customFormat="false" ht="15" hidden="false" customHeight="false" outlineLevel="0" collapsed="false">
      <c r="A24" s="2" t="s">
        <v>85</v>
      </c>
      <c r="B24" s="3" t="s">
        <v>108</v>
      </c>
      <c r="C24" s="2" t="s">
        <v>17</v>
      </c>
      <c r="D24" s="2" t="s">
        <v>18</v>
      </c>
      <c r="E24" s="4" t="n">
        <v>1</v>
      </c>
      <c r="F24" s="5" t="n">
        <v>9.49</v>
      </c>
      <c r="G24" s="6" t="n">
        <f aca="false">IF(F24="","",E24*F24)</f>
        <v>9.49</v>
      </c>
      <c r="H24" s="4" t="s">
        <v>19</v>
      </c>
      <c r="I24" s="7" t="s">
        <v>109</v>
      </c>
      <c r="J24" s="8" t="s">
        <v>21</v>
      </c>
      <c r="K24" s="2" t="n">
        <v>4.8</v>
      </c>
      <c r="L24" s="9" t="n">
        <v>54940</v>
      </c>
      <c r="M24" s="7" t="s">
        <v>110</v>
      </c>
      <c r="N24" s="7"/>
      <c r="O24" s="10"/>
    </row>
    <row r="25" customFormat="false" ht="15" hidden="false" customHeight="false" outlineLevel="0" collapsed="false">
      <c r="A25" s="2" t="s">
        <v>85</v>
      </c>
      <c r="B25" s="3" t="s">
        <v>111</v>
      </c>
      <c r="C25" s="2" t="s">
        <v>41</v>
      </c>
      <c r="D25" s="2" t="s">
        <v>112</v>
      </c>
      <c r="E25" s="4" t="n">
        <v>1</v>
      </c>
      <c r="F25" s="5" t="n">
        <v>11.49</v>
      </c>
      <c r="G25" s="6" t="n">
        <f aca="false">IF(F25="","",E25*F25)</f>
        <v>11.49</v>
      </c>
      <c r="H25" s="4" t="s">
        <v>19</v>
      </c>
      <c r="I25" s="7" t="s">
        <v>113</v>
      </c>
      <c r="J25" s="8" t="s">
        <v>21</v>
      </c>
      <c r="K25" s="2" t="n">
        <v>4.8</v>
      </c>
      <c r="L25" s="9" t="n">
        <v>53256</v>
      </c>
      <c r="M25" s="7" t="s">
        <v>114</v>
      </c>
      <c r="N25" s="7"/>
      <c r="O25" s="10"/>
    </row>
    <row r="26" customFormat="false" ht="15" hidden="false" customHeight="false" outlineLevel="0" collapsed="false">
      <c r="A26" s="2" t="s">
        <v>85</v>
      </c>
      <c r="B26" s="3" t="s">
        <v>115</v>
      </c>
      <c r="C26" s="2" t="s">
        <v>41</v>
      </c>
      <c r="D26" s="2" t="s">
        <v>116</v>
      </c>
      <c r="E26" s="4" t="n">
        <v>1</v>
      </c>
      <c r="F26" s="5" t="n">
        <v>9.34</v>
      </c>
      <c r="G26" s="6" t="n">
        <f aca="false">IF(F26="","",E26*F26)</f>
        <v>9.34</v>
      </c>
      <c r="H26" s="4" t="s">
        <v>19</v>
      </c>
      <c r="I26" s="7" t="s">
        <v>117</v>
      </c>
      <c r="J26" s="8" t="s">
        <v>21</v>
      </c>
      <c r="K26" s="2" t="n">
        <v>4.8</v>
      </c>
      <c r="L26" s="9" t="n">
        <v>94920</v>
      </c>
      <c r="M26" s="7" t="s">
        <v>118</v>
      </c>
      <c r="N26" s="7"/>
      <c r="O26" s="10"/>
    </row>
    <row r="27" customFormat="false" ht="15" hidden="false" customHeight="false" outlineLevel="0" collapsed="false">
      <c r="A27" s="2" t="s">
        <v>85</v>
      </c>
      <c r="B27" s="3" t="s">
        <v>119</v>
      </c>
      <c r="C27" s="2" t="s">
        <v>41</v>
      </c>
      <c r="D27" s="2" t="s">
        <v>18</v>
      </c>
      <c r="E27" s="4" t="n">
        <v>1</v>
      </c>
      <c r="F27" s="5" t="n">
        <v>12.94</v>
      </c>
      <c r="G27" s="6" t="n">
        <f aca="false">IF(F27="","",E27*F27)</f>
        <v>12.94</v>
      </c>
      <c r="H27" s="4" t="s">
        <v>19</v>
      </c>
      <c r="I27" s="7" t="s">
        <v>120</v>
      </c>
      <c r="J27" s="8" t="s">
        <v>21</v>
      </c>
      <c r="K27" s="2" t="n">
        <v>4.6</v>
      </c>
      <c r="L27" s="9" t="n">
        <v>96218</v>
      </c>
      <c r="M27" s="7" t="s">
        <v>121</v>
      </c>
      <c r="N27" s="7"/>
      <c r="O27" s="10"/>
    </row>
    <row r="28" customFormat="false" ht="23.85" hidden="false" customHeight="false" outlineLevel="0" collapsed="false">
      <c r="A28" s="2" t="s">
        <v>85</v>
      </c>
      <c r="B28" s="3" t="s">
        <v>122</v>
      </c>
      <c r="C28" s="2" t="s">
        <v>41</v>
      </c>
      <c r="D28" s="2" t="s">
        <v>63</v>
      </c>
      <c r="E28" s="4" t="n">
        <v>1</v>
      </c>
      <c r="F28" s="5" t="n">
        <v>9.51</v>
      </c>
      <c r="G28" s="6" t="n">
        <f aca="false">IF(F28="","",E28*F28)</f>
        <v>9.51</v>
      </c>
      <c r="H28" s="4" t="s">
        <v>19</v>
      </c>
      <c r="I28" s="7" t="s">
        <v>123</v>
      </c>
      <c r="J28" s="8" t="s">
        <v>21</v>
      </c>
      <c r="K28" s="2" t="n">
        <v>4.8</v>
      </c>
      <c r="L28" s="9" t="n">
        <v>21527</v>
      </c>
      <c r="M28" s="7" t="s">
        <v>124</v>
      </c>
      <c r="N28" s="7"/>
      <c r="O28" s="10"/>
    </row>
    <row r="29" customFormat="false" ht="23.85" hidden="false" customHeight="false" outlineLevel="0" collapsed="false">
      <c r="A29" s="2" t="s">
        <v>125</v>
      </c>
      <c r="B29" s="3" t="s">
        <v>126</v>
      </c>
      <c r="C29" s="2" t="s">
        <v>17</v>
      </c>
      <c r="D29" s="2" t="s">
        <v>127</v>
      </c>
      <c r="E29" s="4" t="n">
        <v>1</v>
      </c>
      <c r="F29" s="5" t="n">
        <v>27.97</v>
      </c>
      <c r="G29" s="6" t="n">
        <f aca="false">IF(F29="","",E29*F29)</f>
        <v>27.97</v>
      </c>
      <c r="H29" s="4" t="s">
        <v>19</v>
      </c>
      <c r="I29" s="7" t="s">
        <v>128</v>
      </c>
      <c r="J29" s="8" t="s">
        <v>21</v>
      </c>
      <c r="K29" s="2" t="n">
        <v>4.8</v>
      </c>
      <c r="L29" s="9" t="n">
        <v>129117</v>
      </c>
      <c r="M29" s="7" t="s">
        <v>129</v>
      </c>
      <c r="N29" s="7" t="s">
        <v>130</v>
      </c>
      <c r="O29" s="10"/>
    </row>
    <row r="30" customFormat="false" ht="23.85" hidden="false" customHeight="false" outlineLevel="0" collapsed="false">
      <c r="A30" s="2" t="s">
        <v>125</v>
      </c>
      <c r="B30" s="3" t="s">
        <v>131</v>
      </c>
      <c r="C30" s="2" t="s">
        <v>17</v>
      </c>
      <c r="D30" s="2" t="s">
        <v>132</v>
      </c>
      <c r="E30" s="4" t="n">
        <v>1</v>
      </c>
      <c r="F30" s="5" t="n">
        <v>49.77</v>
      </c>
      <c r="G30" s="6" t="n">
        <f aca="false">IF(F30="","",E30*F30)</f>
        <v>49.77</v>
      </c>
      <c r="H30" s="4" t="s">
        <v>19</v>
      </c>
      <c r="I30" s="7" t="s">
        <v>133</v>
      </c>
      <c r="J30" s="8" t="s">
        <v>21</v>
      </c>
      <c r="K30" s="2" t="n">
        <v>4.8</v>
      </c>
      <c r="L30" s="9" t="n">
        <v>129117</v>
      </c>
      <c r="M30" s="7" t="s">
        <v>134</v>
      </c>
      <c r="N30" s="7"/>
      <c r="O30" s="10"/>
    </row>
    <row r="31" customFormat="false" ht="23.85" hidden="false" customHeight="false" outlineLevel="0" collapsed="false">
      <c r="A31" s="2" t="s">
        <v>125</v>
      </c>
      <c r="B31" s="3" t="s">
        <v>135</v>
      </c>
      <c r="C31" s="2" t="s">
        <v>17</v>
      </c>
      <c r="D31" s="2" t="s">
        <v>136</v>
      </c>
      <c r="E31" s="4" t="n">
        <v>1</v>
      </c>
      <c r="F31" s="5" t="n">
        <v>44.97</v>
      </c>
      <c r="G31" s="6" t="n">
        <f aca="false">IF(F31="","",E31*F31)</f>
        <v>44.97</v>
      </c>
      <c r="H31" s="4" t="s">
        <v>19</v>
      </c>
      <c r="I31" s="7" t="s">
        <v>137</v>
      </c>
      <c r="J31" s="8" t="s">
        <v>21</v>
      </c>
      <c r="K31" s="2" t="n">
        <v>4.7</v>
      </c>
      <c r="L31" s="9" t="n">
        <v>88181</v>
      </c>
      <c r="M31" s="7" t="s">
        <v>138</v>
      </c>
      <c r="N31" s="7"/>
      <c r="O31" s="10"/>
    </row>
    <row r="32" customFormat="false" ht="23.85" hidden="false" customHeight="false" outlineLevel="0" collapsed="false">
      <c r="A32" s="2" t="s">
        <v>125</v>
      </c>
      <c r="B32" s="3" t="s">
        <v>139</v>
      </c>
      <c r="C32" s="2" t="s">
        <v>17</v>
      </c>
      <c r="D32" s="2" t="s">
        <v>140</v>
      </c>
      <c r="E32" s="4" t="n">
        <v>1</v>
      </c>
      <c r="F32" s="5" t="n">
        <v>12.97</v>
      </c>
      <c r="G32" s="6" t="n">
        <f aca="false">IF(F32="","",E32*F32)</f>
        <v>12.97</v>
      </c>
      <c r="H32" s="4" t="s">
        <v>19</v>
      </c>
      <c r="I32" s="7" t="s">
        <v>141</v>
      </c>
      <c r="J32" s="8" t="s">
        <v>21</v>
      </c>
      <c r="K32" s="2" t="n">
        <v>4.9</v>
      </c>
      <c r="L32" s="9" t="n">
        <v>91980</v>
      </c>
      <c r="M32" s="7" t="s">
        <v>142</v>
      </c>
      <c r="N32" s="7"/>
      <c r="O32" s="10"/>
    </row>
    <row r="33" customFormat="false" ht="15" hidden="false" customHeight="false" outlineLevel="0" collapsed="false">
      <c r="A33" s="2" t="s">
        <v>125</v>
      </c>
      <c r="B33" s="3" t="s">
        <v>143</v>
      </c>
      <c r="C33" s="2" t="s">
        <v>41</v>
      </c>
      <c r="D33" s="2" t="s">
        <v>144</v>
      </c>
      <c r="E33" s="4" t="n">
        <v>1</v>
      </c>
      <c r="F33" s="5" t="n">
        <v>7.97</v>
      </c>
      <c r="G33" s="6" t="n">
        <f aca="false">IF(F33="","",E33*F33)</f>
        <v>7.97</v>
      </c>
      <c r="H33" s="4" t="s">
        <v>19</v>
      </c>
      <c r="I33" s="7" t="s">
        <v>145</v>
      </c>
      <c r="J33" s="8" t="s">
        <v>21</v>
      </c>
      <c r="K33" s="2" t="n">
        <v>4.8</v>
      </c>
      <c r="L33" s="9" t="n">
        <v>51948</v>
      </c>
      <c r="M33" s="7" t="s">
        <v>146</v>
      </c>
      <c r="N33" s="7"/>
      <c r="O33" s="10"/>
    </row>
    <row r="34" customFormat="false" ht="15" hidden="false" customHeight="false" outlineLevel="0" collapsed="false">
      <c r="A34" s="2" t="s">
        <v>125</v>
      </c>
      <c r="B34" s="3" t="s">
        <v>147</v>
      </c>
      <c r="C34" s="2" t="s">
        <v>17</v>
      </c>
      <c r="D34" s="2" t="s">
        <v>18</v>
      </c>
      <c r="E34" s="4" t="n">
        <v>1</v>
      </c>
      <c r="F34" s="5" t="n">
        <v>19</v>
      </c>
      <c r="G34" s="6" t="n">
        <f aca="false">IF(F34="","",E34*F34)</f>
        <v>19</v>
      </c>
      <c r="H34" s="4" t="s">
        <v>19</v>
      </c>
      <c r="I34" s="7" t="s">
        <v>148</v>
      </c>
      <c r="J34" s="8" t="s">
        <v>21</v>
      </c>
      <c r="K34" s="2" t="n">
        <v>4.5</v>
      </c>
      <c r="L34" s="9" t="n">
        <v>2027</v>
      </c>
      <c r="M34" s="7" t="s">
        <v>149</v>
      </c>
      <c r="N34" s="7"/>
      <c r="O34" s="10"/>
    </row>
    <row r="35" customFormat="false" ht="23.85" hidden="false" customHeight="false" outlineLevel="0" collapsed="false">
      <c r="A35" s="2" t="s">
        <v>125</v>
      </c>
      <c r="B35" s="3" t="s">
        <v>150</v>
      </c>
      <c r="C35" s="2" t="s">
        <v>17</v>
      </c>
      <c r="D35" s="2" t="s">
        <v>33</v>
      </c>
      <c r="E35" s="4" t="n">
        <v>1</v>
      </c>
      <c r="F35" s="5" t="n">
        <v>9.99</v>
      </c>
      <c r="G35" s="6" t="n">
        <f aca="false">IF(F35="","",E35*F35)</f>
        <v>9.99</v>
      </c>
      <c r="H35" s="4" t="s">
        <v>19</v>
      </c>
      <c r="I35" s="7" t="s">
        <v>151</v>
      </c>
      <c r="J35" s="8" t="s">
        <v>21</v>
      </c>
      <c r="K35" s="2" t="n">
        <v>4.7</v>
      </c>
      <c r="L35" s="9" t="n">
        <v>3042</v>
      </c>
      <c r="M35" s="7" t="s">
        <v>152</v>
      </c>
      <c r="N35" s="7"/>
      <c r="O35" s="10"/>
    </row>
    <row r="36" customFormat="false" ht="15" hidden="false" customHeight="false" outlineLevel="0" collapsed="false">
      <c r="A36" s="2" t="s">
        <v>125</v>
      </c>
      <c r="B36" s="3" t="s">
        <v>153</v>
      </c>
      <c r="C36" s="2" t="s">
        <v>25</v>
      </c>
      <c r="D36" s="2" t="s">
        <v>18</v>
      </c>
      <c r="E36" s="4" t="n">
        <v>1</v>
      </c>
      <c r="F36" s="5" t="n">
        <v>69.99</v>
      </c>
      <c r="G36" s="6" t="n">
        <f aca="false">IF(F36="","",E36*F36)</f>
        <v>69.99</v>
      </c>
      <c r="H36" s="4" t="s">
        <v>19</v>
      </c>
      <c r="I36" s="7" t="s">
        <v>154</v>
      </c>
      <c r="J36" s="8" t="s">
        <v>21</v>
      </c>
      <c r="K36" s="2" t="n">
        <v>4.6</v>
      </c>
      <c r="L36" s="9" t="n">
        <v>10049</v>
      </c>
      <c r="M36" s="7" t="s">
        <v>155</v>
      </c>
      <c r="N36" s="7" t="s">
        <v>156</v>
      </c>
      <c r="O36" s="10"/>
    </row>
    <row r="37" customFormat="false" ht="15" hidden="false" customHeight="false" outlineLevel="0" collapsed="false">
      <c r="A37" s="2" t="s">
        <v>157</v>
      </c>
      <c r="B37" s="3" t="s">
        <v>158</v>
      </c>
      <c r="C37" s="2" t="s">
        <v>17</v>
      </c>
      <c r="D37" s="2" t="s">
        <v>159</v>
      </c>
      <c r="E37" s="4" t="n">
        <v>2</v>
      </c>
      <c r="F37" s="5" t="n">
        <v>25</v>
      </c>
      <c r="G37" s="6" t="n">
        <f aca="false">IF(F37="","",E37*F37)</f>
        <v>50</v>
      </c>
      <c r="H37" s="4" t="s">
        <v>19</v>
      </c>
      <c r="I37" s="7" t="s">
        <v>160</v>
      </c>
      <c r="J37" s="8" t="s">
        <v>21</v>
      </c>
      <c r="K37" s="2" t="n">
        <v>4.8</v>
      </c>
      <c r="L37" s="9" t="n">
        <v>29399</v>
      </c>
      <c r="M37" s="7" t="s">
        <v>161</v>
      </c>
      <c r="N37" s="7" t="s">
        <v>162</v>
      </c>
      <c r="O37" s="10"/>
    </row>
    <row r="38" customFormat="false" ht="15" hidden="false" customHeight="false" outlineLevel="0" collapsed="false">
      <c r="A38" s="2" t="s">
        <v>157</v>
      </c>
      <c r="B38" s="3" t="s">
        <v>163</v>
      </c>
      <c r="C38" s="2" t="s">
        <v>17</v>
      </c>
      <c r="D38" s="2" t="s">
        <v>63</v>
      </c>
      <c r="E38" s="4" t="n">
        <v>1</v>
      </c>
      <c r="F38" s="5" t="n">
        <v>23.99</v>
      </c>
      <c r="G38" s="6" t="n">
        <f aca="false">IF(F38="","",E38*F38)</f>
        <v>23.99</v>
      </c>
      <c r="H38" s="4" t="s">
        <v>19</v>
      </c>
      <c r="I38" s="7" t="s">
        <v>164</v>
      </c>
      <c r="J38" s="8" t="s">
        <v>21</v>
      </c>
      <c r="K38" s="2" t="n">
        <v>4.7</v>
      </c>
      <c r="L38" s="9" t="n">
        <v>72826</v>
      </c>
      <c r="M38" s="7" t="s">
        <v>165</v>
      </c>
      <c r="N38" s="7" t="s">
        <v>166</v>
      </c>
      <c r="O38" s="10"/>
    </row>
    <row r="39" customFormat="false" ht="15" hidden="false" customHeight="false" outlineLevel="0" collapsed="false">
      <c r="A39" s="2" t="s">
        <v>157</v>
      </c>
      <c r="B39" s="3" t="s">
        <v>167</v>
      </c>
      <c r="C39" s="2" t="s">
        <v>17</v>
      </c>
      <c r="D39" s="2" t="s">
        <v>168</v>
      </c>
      <c r="E39" s="4" t="n">
        <v>2</v>
      </c>
      <c r="F39" s="5" t="n">
        <v>11.66</v>
      </c>
      <c r="G39" s="6" t="n">
        <f aca="false">IF(F39="","",E39*F39)</f>
        <v>23.32</v>
      </c>
      <c r="H39" s="4" t="s">
        <v>19</v>
      </c>
      <c r="I39" s="7" t="s">
        <v>169</v>
      </c>
      <c r="J39" s="8" t="s">
        <v>21</v>
      </c>
      <c r="K39" s="2" t="n">
        <v>4.8</v>
      </c>
      <c r="L39" s="9" t="n">
        <v>58485</v>
      </c>
      <c r="M39" s="7" t="s">
        <v>170</v>
      </c>
      <c r="N39" s="7"/>
      <c r="O39" s="10"/>
    </row>
    <row r="40" customFormat="false" ht="15" hidden="false" customHeight="false" outlineLevel="0" collapsed="false">
      <c r="A40" s="2" t="s">
        <v>157</v>
      </c>
      <c r="B40" s="3" t="s">
        <v>171</v>
      </c>
      <c r="C40" s="2" t="s">
        <v>17</v>
      </c>
      <c r="D40" s="2" t="s">
        <v>172</v>
      </c>
      <c r="E40" s="4" t="n">
        <v>1</v>
      </c>
      <c r="F40" s="5" t="n">
        <v>10.95</v>
      </c>
      <c r="G40" s="6" t="n">
        <f aca="false">IF(F40="","",E40*F40)</f>
        <v>10.95</v>
      </c>
      <c r="H40" s="4" t="s">
        <v>19</v>
      </c>
      <c r="I40" s="7" t="s">
        <v>173</v>
      </c>
      <c r="J40" s="8" t="s">
        <v>21</v>
      </c>
      <c r="K40" s="2" t="n">
        <v>4.4</v>
      </c>
      <c r="L40" s="9" t="n">
        <v>15198</v>
      </c>
      <c r="M40" s="7" t="s">
        <v>174</v>
      </c>
      <c r="N40" s="7"/>
      <c r="O40" s="10"/>
    </row>
    <row r="41" customFormat="false" ht="23.85" hidden="false" customHeight="false" outlineLevel="0" collapsed="false">
      <c r="A41" s="2" t="s">
        <v>157</v>
      </c>
      <c r="B41" s="3" t="s">
        <v>175</v>
      </c>
      <c r="C41" s="2" t="s">
        <v>17</v>
      </c>
      <c r="D41" s="2" t="s">
        <v>176</v>
      </c>
      <c r="E41" s="4" t="n">
        <v>1</v>
      </c>
      <c r="F41" s="5" t="n">
        <v>16.99</v>
      </c>
      <c r="G41" s="6" t="n">
        <f aca="false">IF(F41="","",E41*F41)</f>
        <v>16.99</v>
      </c>
      <c r="H41" s="4" t="s">
        <v>19</v>
      </c>
      <c r="I41" s="7" t="s">
        <v>177</v>
      </c>
      <c r="J41" s="8" t="s">
        <v>21</v>
      </c>
      <c r="K41" s="2" t="n">
        <v>4.5</v>
      </c>
      <c r="L41" s="9" t="n">
        <v>933</v>
      </c>
      <c r="M41" s="7" t="s">
        <v>178</v>
      </c>
      <c r="N41" s="7"/>
      <c r="O41" s="10"/>
    </row>
    <row r="42" customFormat="false" ht="23.85" hidden="false" customHeight="false" outlineLevel="0" collapsed="false">
      <c r="A42" s="2" t="s">
        <v>157</v>
      </c>
      <c r="B42" s="3" t="s">
        <v>179</v>
      </c>
      <c r="C42" s="2" t="s">
        <v>17</v>
      </c>
      <c r="D42" s="2" t="s">
        <v>176</v>
      </c>
      <c r="E42" s="4" t="n">
        <v>1</v>
      </c>
      <c r="F42" s="5" t="n">
        <v>8.99</v>
      </c>
      <c r="G42" s="6" t="n">
        <f aca="false">IF(F42="","",E42*F42)</f>
        <v>8.99</v>
      </c>
      <c r="H42" s="4" t="s">
        <v>19</v>
      </c>
      <c r="I42" s="7" t="s">
        <v>180</v>
      </c>
      <c r="J42" s="8" t="s">
        <v>21</v>
      </c>
      <c r="K42" s="2" t="n">
        <v>4.6</v>
      </c>
      <c r="L42" s="9" t="n">
        <v>35232</v>
      </c>
      <c r="M42" s="7" t="s">
        <v>181</v>
      </c>
      <c r="N42" s="7"/>
      <c r="O42" s="10"/>
    </row>
    <row r="43" customFormat="false" ht="23.85" hidden="false" customHeight="false" outlineLevel="0" collapsed="false">
      <c r="A43" s="2" t="s">
        <v>157</v>
      </c>
      <c r="B43" s="3" t="s">
        <v>182</v>
      </c>
      <c r="C43" s="2" t="s">
        <v>17</v>
      </c>
      <c r="D43" s="2" t="s">
        <v>183</v>
      </c>
      <c r="E43" s="4" t="n">
        <v>1</v>
      </c>
      <c r="F43" s="5" t="n">
        <v>18.68</v>
      </c>
      <c r="G43" s="6" t="n">
        <f aca="false">IF(F43="","",E43*F43)</f>
        <v>18.68</v>
      </c>
      <c r="H43" s="4" t="s">
        <v>19</v>
      </c>
      <c r="I43" s="7" t="s">
        <v>184</v>
      </c>
      <c r="J43" s="8" t="s">
        <v>21</v>
      </c>
      <c r="K43" s="2" t="n">
        <v>4.8</v>
      </c>
      <c r="L43" s="9" t="n">
        <v>26732</v>
      </c>
      <c r="M43" s="7" t="s">
        <v>185</v>
      </c>
      <c r="N43" s="7" t="s">
        <v>186</v>
      </c>
      <c r="O43" s="10"/>
    </row>
    <row r="44" customFormat="false" ht="23.85" hidden="false" customHeight="false" outlineLevel="0" collapsed="false">
      <c r="A44" s="2" t="s">
        <v>187</v>
      </c>
      <c r="B44" s="3" t="s">
        <v>188</v>
      </c>
      <c r="C44" s="2" t="s">
        <v>41</v>
      </c>
      <c r="D44" s="2" t="s">
        <v>18</v>
      </c>
      <c r="E44" s="4" t="n">
        <v>1</v>
      </c>
      <c r="F44" s="5" t="n">
        <v>39.99</v>
      </c>
      <c r="G44" s="6" t="n">
        <f aca="false">IF(F44="","",E44*F44)</f>
        <v>39.99</v>
      </c>
      <c r="H44" s="4" t="s">
        <v>19</v>
      </c>
      <c r="I44" s="7" t="s">
        <v>189</v>
      </c>
      <c r="J44" s="8" t="s">
        <v>21</v>
      </c>
      <c r="K44" s="2" t="n">
        <v>4.7</v>
      </c>
      <c r="L44" s="9" t="n">
        <v>13262</v>
      </c>
      <c r="M44" s="7" t="s">
        <v>190</v>
      </c>
      <c r="N44" s="7" t="s">
        <v>191</v>
      </c>
      <c r="O44" s="10"/>
    </row>
    <row r="45" customFormat="false" ht="15" hidden="false" customHeight="false" outlineLevel="0" collapsed="false">
      <c r="A45" s="2" t="s">
        <v>187</v>
      </c>
      <c r="B45" s="3" t="s">
        <v>192</v>
      </c>
      <c r="C45" s="2" t="s">
        <v>41</v>
      </c>
      <c r="D45" s="2" t="s">
        <v>193</v>
      </c>
      <c r="E45" s="4" t="n">
        <v>1</v>
      </c>
      <c r="F45" s="5" t="n">
        <v>14.97</v>
      </c>
      <c r="G45" s="6" t="n">
        <f aca="false">IF(F45="","",E45*F45)</f>
        <v>14.97</v>
      </c>
      <c r="H45" s="4" t="s">
        <v>19</v>
      </c>
      <c r="I45" s="7" t="s">
        <v>194</v>
      </c>
      <c r="J45" s="8" t="s">
        <v>21</v>
      </c>
      <c r="K45" s="2" t="n">
        <v>4.8</v>
      </c>
      <c r="L45" s="9" t="n">
        <v>6782</v>
      </c>
      <c r="M45" s="7" t="s">
        <v>195</v>
      </c>
      <c r="N45" s="7"/>
      <c r="O45" s="10"/>
    </row>
    <row r="46" customFormat="false" ht="23.85" hidden="false" customHeight="false" outlineLevel="0" collapsed="false">
      <c r="A46" s="2" t="s">
        <v>187</v>
      </c>
      <c r="B46" s="3" t="s">
        <v>196</v>
      </c>
      <c r="C46" s="2" t="s">
        <v>41</v>
      </c>
      <c r="D46" s="2" t="s">
        <v>33</v>
      </c>
      <c r="E46" s="4" t="n">
        <v>1</v>
      </c>
      <c r="F46" s="5" t="n">
        <v>11.99</v>
      </c>
      <c r="G46" s="6" t="n">
        <f aca="false">IF(F46="","",E46*F46)</f>
        <v>11.99</v>
      </c>
      <c r="H46" s="4" t="s">
        <v>19</v>
      </c>
      <c r="I46" s="7" t="s">
        <v>197</v>
      </c>
      <c r="J46" s="8" t="s">
        <v>21</v>
      </c>
      <c r="K46" s="2" t="n">
        <v>4.8</v>
      </c>
      <c r="L46" s="9" t="n">
        <v>4493</v>
      </c>
      <c r="M46" s="7" t="s">
        <v>198</v>
      </c>
      <c r="N46" s="7"/>
      <c r="O46" s="10"/>
    </row>
    <row r="47" customFormat="false" ht="23.85" hidden="false" customHeight="false" outlineLevel="0" collapsed="false">
      <c r="A47" s="2" t="s">
        <v>187</v>
      </c>
      <c r="B47" s="3" t="s">
        <v>199</v>
      </c>
      <c r="C47" s="2" t="s">
        <v>41</v>
      </c>
      <c r="D47" s="2" t="s">
        <v>200</v>
      </c>
      <c r="E47" s="4" t="n">
        <v>1</v>
      </c>
      <c r="F47" s="5" t="n">
        <v>9.99</v>
      </c>
      <c r="G47" s="6" t="n">
        <f aca="false">IF(F47="","",E47*F47)</f>
        <v>9.99</v>
      </c>
      <c r="H47" s="4" t="s">
        <v>19</v>
      </c>
      <c r="I47" s="7" t="s">
        <v>201</v>
      </c>
      <c r="J47" s="8" t="s">
        <v>21</v>
      </c>
      <c r="K47" s="2" t="n">
        <v>4.8</v>
      </c>
      <c r="L47" s="9" t="n">
        <v>20138</v>
      </c>
      <c r="M47" s="7" t="s">
        <v>202</v>
      </c>
      <c r="N47" s="7"/>
      <c r="O47" s="10"/>
    </row>
    <row r="48" customFormat="false" ht="15" hidden="false" customHeight="false" outlineLevel="0" collapsed="false">
      <c r="A48" s="2" t="s">
        <v>187</v>
      </c>
      <c r="B48" s="3" t="s">
        <v>203</v>
      </c>
      <c r="C48" s="2" t="s">
        <v>41</v>
      </c>
      <c r="D48" s="2" t="s">
        <v>18</v>
      </c>
      <c r="E48" s="4" t="n">
        <v>1</v>
      </c>
      <c r="F48" s="5" t="n">
        <v>18.99</v>
      </c>
      <c r="G48" s="6" t="n">
        <f aca="false">IF(F48="","",E48*F48)</f>
        <v>18.99</v>
      </c>
      <c r="H48" s="4" t="s">
        <v>19</v>
      </c>
      <c r="I48" s="7" t="s">
        <v>204</v>
      </c>
      <c r="J48" s="8" t="s">
        <v>21</v>
      </c>
      <c r="K48" s="2" t="n">
        <v>4.5</v>
      </c>
      <c r="L48" s="9" t="n">
        <v>13807</v>
      </c>
      <c r="M48" s="7" t="s">
        <v>205</v>
      </c>
      <c r="N48" s="7"/>
      <c r="O48" s="10"/>
    </row>
    <row r="49" customFormat="false" ht="23.85" hidden="false" customHeight="false" outlineLevel="0" collapsed="false">
      <c r="A49" s="2" t="s">
        <v>206</v>
      </c>
      <c r="B49" s="3" t="s">
        <v>207</v>
      </c>
      <c r="C49" s="2" t="s">
        <v>17</v>
      </c>
      <c r="D49" s="2" t="s">
        <v>18</v>
      </c>
      <c r="E49" s="4" t="n">
        <v>1</v>
      </c>
      <c r="F49" s="5" t="n">
        <v>13.97</v>
      </c>
      <c r="G49" s="6" t="n">
        <f aca="false">IF(F49="","",E49*F49)</f>
        <v>13.97</v>
      </c>
      <c r="H49" s="4" t="s">
        <v>19</v>
      </c>
      <c r="I49" s="7" t="s">
        <v>208</v>
      </c>
      <c r="J49" s="8" t="s">
        <v>21</v>
      </c>
      <c r="K49" s="2" t="n">
        <v>4.7</v>
      </c>
      <c r="L49" s="9" t="n">
        <v>11812</v>
      </c>
      <c r="M49" s="7" t="s">
        <v>209</v>
      </c>
      <c r="N49" s="7" t="s">
        <v>210</v>
      </c>
      <c r="O49" s="10"/>
    </row>
    <row r="50" customFormat="false" ht="15" hidden="false" customHeight="false" outlineLevel="0" collapsed="false">
      <c r="A50" s="2" t="s">
        <v>206</v>
      </c>
      <c r="B50" s="3" t="s">
        <v>211</v>
      </c>
      <c r="C50" s="2" t="s">
        <v>17</v>
      </c>
      <c r="D50" s="2" t="s">
        <v>18</v>
      </c>
      <c r="E50" s="4" t="n">
        <v>1</v>
      </c>
      <c r="F50" s="5" t="n">
        <v>13.62</v>
      </c>
      <c r="G50" s="6" t="n">
        <f aca="false">IF(F50="","",E50*F50)</f>
        <v>13.62</v>
      </c>
      <c r="H50" s="4" t="s">
        <v>19</v>
      </c>
      <c r="I50" s="7" t="s">
        <v>212</v>
      </c>
      <c r="J50" s="8" t="s">
        <v>21</v>
      </c>
      <c r="K50" s="2" t="n">
        <v>4.7</v>
      </c>
      <c r="L50" s="9" t="n">
        <v>36943</v>
      </c>
      <c r="M50" s="7" t="s">
        <v>213</v>
      </c>
      <c r="N50" s="7"/>
      <c r="O50" s="10"/>
    </row>
    <row r="51" customFormat="false" ht="23.85" hidden="false" customHeight="false" outlineLevel="0" collapsed="false">
      <c r="A51" s="2" t="s">
        <v>206</v>
      </c>
      <c r="B51" s="3" t="s">
        <v>214</v>
      </c>
      <c r="C51" s="2" t="s">
        <v>41</v>
      </c>
      <c r="D51" s="2" t="s">
        <v>215</v>
      </c>
      <c r="E51" s="4" t="n">
        <v>1</v>
      </c>
      <c r="F51" s="5" t="n">
        <v>4.99</v>
      </c>
      <c r="G51" s="6" t="n">
        <f aca="false">IF(F51="","",E51*F51)</f>
        <v>4.99</v>
      </c>
      <c r="H51" s="4" t="s">
        <v>19</v>
      </c>
      <c r="I51" s="7" t="s">
        <v>216</v>
      </c>
      <c r="J51" s="8" t="s">
        <v>21</v>
      </c>
      <c r="K51" s="2" t="n">
        <v>4.9</v>
      </c>
      <c r="L51" s="9" t="n">
        <v>1542</v>
      </c>
      <c r="M51" s="7" t="s">
        <v>217</v>
      </c>
      <c r="N51" s="7" t="s">
        <v>218</v>
      </c>
      <c r="O51" s="10"/>
    </row>
    <row r="52" customFormat="false" ht="23.85" hidden="false" customHeight="false" outlineLevel="0" collapsed="false">
      <c r="A52" s="2" t="s">
        <v>206</v>
      </c>
      <c r="B52" s="3" t="s">
        <v>219</v>
      </c>
      <c r="C52" s="2" t="s">
        <v>25</v>
      </c>
      <c r="D52" s="2" t="s">
        <v>220</v>
      </c>
      <c r="E52" s="4" t="n">
        <v>1</v>
      </c>
      <c r="F52" s="5" t="n">
        <v>11.19</v>
      </c>
      <c r="G52" s="6" t="n">
        <f aca="false">IF(F52="","",E52*F52)</f>
        <v>11.19</v>
      </c>
      <c r="H52" s="4" t="s">
        <v>19</v>
      </c>
      <c r="I52" s="7" t="s">
        <v>221</v>
      </c>
      <c r="J52" s="8" t="s">
        <v>21</v>
      </c>
      <c r="K52" s="2" t="n">
        <v>4.5</v>
      </c>
      <c r="L52" s="9" t="n">
        <v>29858</v>
      </c>
      <c r="M52" s="7" t="s">
        <v>222</v>
      </c>
      <c r="N52" s="7"/>
      <c r="O52" s="10"/>
    </row>
    <row r="53" customFormat="false" ht="23.85" hidden="false" customHeight="false" outlineLevel="0" collapsed="false">
      <c r="A53" s="2" t="s">
        <v>223</v>
      </c>
      <c r="B53" s="3" t="s">
        <v>224</v>
      </c>
      <c r="C53" s="2" t="s">
        <v>41</v>
      </c>
      <c r="D53" s="2" t="s">
        <v>18</v>
      </c>
      <c r="E53" s="4" t="n">
        <v>1</v>
      </c>
      <c r="F53" s="5" t="n">
        <v>32.99</v>
      </c>
      <c r="G53" s="6" t="n">
        <f aca="false">IF(F53="","",E53*F53)</f>
        <v>32.99</v>
      </c>
      <c r="H53" s="4" t="s">
        <v>19</v>
      </c>
      <c r="I53" s="7" t="s">
        <v>225</v>
      </c>
      <c r="J53" s="8" t="s">
        <v>21</v>
      </c>
      <c r="K53" s="2" t="n">
        <v>4.5</v>
      </c>
      <c r="L53" s="9" t="n">
        <v>13103</v>
      </c>
      <c r="M53" s="7" t="s">
        <v>226</v>
      </c>
      <c r="N53" s="7"/>
      <c r="O53" s="10"/>
    </row>
    <row r="54" customFormat="false" ht="15" hidden="false" customHeight="false" outlineLevel="0" collapsed="false">
      <c r="A54" s="2" t="s">
        <v>223</v>
      </c>
      <c r="B54" s="3" t="s">
        <v>227</v>
      </c>
      <c r="C54" s="2" t="s">
        <v>74</v>
      </c>
      <c r="D54" s="2" t="s">
        <v>18</v>
      </c>
      <c r="E54" s="4" t="n">
        <v>1</v>
      </c>
      <c r="F54" s="5" t="n">
        <v>42.97</v>
      </c>
      <c r="G54" s="6" t="n">
        <f aca="false">IF(F54="","",E54*F54)</f>
        <v>42.97</v>
      </c>
      <c r="H54" s="4" t="s">
        <v>19</v>
      </c>
      <c r="I54" s="7" t="s">
        <v>228</v>
      </c>
      <c r="J54" s="8" t="s">
        <v>21</v>
      </c>
      <c r="K54" s="2" t="n">
        <v>4.8</v>
      </c>
      <c r="L54" s="9" t="n">
        <v>3497</v>
      </c>
      <c r="M54" s="7" t="s">
        <v>229</v>
      </c>
      <c r="N54" s="7" t="s">
        <v>230</v>
      </c>
      <c r="O54" s="10"/>
    </row>
    <row r="55" customFormat="false" ht="15" hidden="false" customHeight="false" outlineLevel="0" collapsed="false">
      <c r="A55" s="2" t="s">
        <v>231</v>
      </c>
      <c r="B55" s="3" t="s">
        <v>232</v>
      </c>
      <c r="C55" s="2" t="s">
        <v>17</v>
      </c>
      <c r="D55" s="2" t="s">
        <v>18</v>
      </c>
      <c r="E55" s="4" t="n">
        <v>1</v>
      </c>
      <c r="F55" s="5" t="n">
        <v>9.48</v>
      </c>
      <c r="G55" s="6" t="n">
        <f aca="false">IF(F55="","",E55*F55)</f>
        <v>9.48</v>
      </c>
      <c r="H55" s="4" t="s">
        <v>19</v>
      </c>
      <c r="I55" s="7" t="s">
        <v>233</v>
      </c>
      <c r="J55" s="8" t="s">
        <v>21</v>
      </c>
      <c r="K55" s="2" t="n">
        <v>4.8</v>
      </c>
      <c r="L55" s="9" t="n">
        <v>29372</v>
      </c>
      <c r="M55" s="7" t="s">
        <v>234</v>
      </c>
      <c r="N55" s="7" t="s">
        <v>235</v>
      </c>
      <c r="O55" s="10"/>
    </row>
    <row r="56" customFormat="false" ht="15" hidden="false" customHeight="false" outlineLevel="0" collapsed="false">
      <c r="A56" s="2" t="s">
        <v>231</v>
      </c>
      <c r="B56" s="3" t="s">
        <v>236</v>
      </c>
      <c r="C56" s="2" t="s">
        <v>17</v>
      </c>
      <c r="D56" s="2" t="s">
        <v>237</v>
      </c>
      <c r="E56" s="4" t="n">
        <v>1</v>
      </c>
      <c r="F56" s="5" t="n">
        <v>11.89</v>
      </c>
      <c r="G56" s="6" t="n">
        <f aca="false">IF(F56="","",E56*F56)</f>
        <v>11.89</v>
      </c>
      <c r="H56" s="4" t="s">
        <v>19</v>
      </c>
      <c r="I56" s="7" t="s">
        <v>238</v>
      </c>
      <c r="J56" s="8" t="s">
        <v>21</v>
      </c>
      <c r="K56" s="2" t="n">
        <v>4.7</v>
      </c>
      <c r="L56" s="9" t="n">
        <v>19914</v>
      </c>
      <c r="M56" s="7" t="s">
        <v>239</v>
      </c>
      <c r="N56" s="7"/>
      <c r="O56" s="10"/>
    </row>
    <row r="57" customFormat="false" ht="15" hidden="false" customHeight="false" outlineLevel="0" collapsed="false">
      <c r="A57" s="2" t="s">
        <v>231</v>
      </c>
      <c r="B57" s="3" t="s">
        <v>240</v>
      </c>
      <c r="C57" s="2" t="s">
        <v>17</v>
      </c>
      <c r="D57" s="2" t="s">
        <v>176</v>
      </c>
      <c r="E57" s="4" t="n">
        <v>1</v>
      </c>
      <c r="F57" s="5" t="n">
        <v>18.97</v>
      </c>
      <c r="G57" s="6" t="n">
        <f aca="false">IF(F57="","",E57*F57)</f>
        <v>18.97</v>
      </c>
      <c r="H57" s="4" t="s">
        <v>19</v>
      </c>
      <c r="I57" s="7" t="s">
        <v>241</v>
      </c>
      <c r="J57" s="8" t="s">
        <v>21</v>
      </c>
      <c r="K57" s="2" t="n">
        <v>4.6</v>
      </c>
      <c r="L57" s="9" t="n">
        <v>19285</v>
      </c>
      <c r="M57" s="7" t="s">
        <v>242</v>
      </c>
      <c r="N57" s="7"/>
      <c r="O57" s="10"/>
    </row>
    <row r="58" customFormat="false" ht="23.85" hidden="false" customHeight="false" outlineLevel="0" collapsed="false">
      <c r="A58" s="2" t="s">
        <v>231</v>
      </c>
      <c r="B58" s="3" t="s">
        <v>243</v>
      </c>
      <c r="C58" s="2" t="s">
        <v>17</v>
      </c>
      <c r="D58" s="2" t="s">
        <v>112</v>
      </c>
      <c r="E58" s="4" t="n">
        <v>1</v>
      </c>
      <c r="F58" s="5" t="n">
        <v>7.68</v>
      </c>
      <c r="G58" s="6" t="n">
        <f aca="false">IF(F58="","",E58*F58)</f>
        <v>7.68</v>
      </c>
      <c r="H58" s="4" t="s">
        <v>19</v>
      </c>
      <c r="I58" s="7" t="s">
        <v>244</v>
      </c>
      <c r="J58" s="8" t="s">
        <v>21</v>
      </c>
      <c r="K58" s="2" t="n">
        <v>4.8</v>
      </c>
      <c r="L58" s="9" t="n">
        <v>62933</v>
      </c>
      <c r="M58" s="7" t="s">
        <v>245</v>
      </c>
      <c r="N58" s="7"/>
      <c r="O58" s="10"/>
    </row>
    <row r="59" customFormat="false" ht="23.85" hidden="false" customHeight="false" outlineLevel="0" collapsed="false">
      <c r="A59" s="2" t="s">
        <v>231</v>
      </c>
      <c r="B59" s="3" t="s">
        <v>246</v>
      </c>
      <c r="C59" s="2" t="s">
        <v>41</v>
      </c>
      <c r="D59" s="2" t="s">
        <v>247</v>
      </c>
      <c r="E59" s="4" t="n">
        <v>1</v>
      </c>
      <c r="F59" s="5" t="n">
        <v>39.89</v>
      </c>
      <c r="G59" s="6" t="n">
        <f aca="false">IF(F59="","",E59*F59)</f>
        <v>39.89</v>
      </c>
      <c r="H59" s="4" t="s">
        <v>19</v>
      </c>
      <c r="I59" s="7" t="s">
        <v>248</v>
      </c>
      <c r="J59" s="8" t="s">
        <v>21</v>
      </c>
      <c r="K59" s="2" t="n">
        <v>4</v>
      </c>
      <c r="L59" s="9" t="n">
        <v>254</v>
      </c>
      <c r="M59" s="7" t="s">
        <v>249</v>
      </c>
      <c r="N59" s="7" t="s">
        <v>250</v>
      </c>
      <c r="O59" s="10"/>
    </row>
    <row r="60" customFormat="false" ht="15" hidden="false" customHeight="false" outlineLevel="0" collapsed="false">
      <c r="A60" s="2" t="s">
        <v>231</v>
      </c>
      <c r="B60" s="3" t="s">
        <v>251</v>
      </c>
      <c r="C60" s="2" t="s">
        <v>17</v>
      </c>
      <c r="D60" s="2" t="s">
        <v>18</v>
      </c>
      <c r="E60" s="4" t="n">
        <v>1</v>
      </c>
      <c r="F60" s="5" t="n">
        <v>13.23</v>
      </c>
      <c r="G60" s="6" t="n">
        <f aca="false">IF(F60="","",E60*F60)</f>
        <v>13.23</v>
      </c>
      <c r="H60" s="4" t="s">
        <v>19</v>
      </c>
      <c r="I60" s="7" t="s">
        <v>252</v>
      </c>
      <c r="J60" s="8" t="s">
        <v>21</v>
      </c>
      <c r="K60" s="2" t="n">
        <v>4.6</v>
      </c>
      <c r="L60" s="9" t="n">
        <v>6152</v>
      </c>
      <c r="M60" s="7" t="s">
        <v>253</v>
      </c>
      <c r="N60" s="7"/>
      <c r="O60" s="10"/>
    </row>
    <row r="61" customFormat="false" ht="23.85" hidden="false" customHeight="false" outlineLevel="0" collapsed="false">
      <c r="A61" s="2" t="s">
        <v>254</v>
      </c>
      <c r="B61" s="3" t="s">
        <v>255</v>
      </c>
      <c r="C61" s="2" t="s">
        <v>17</v>
      </c>
      <c r="D61" s="2" t="s">
        <v>18</v>
      </c>
      <c r="E61" s="4" t="n">
        <v>1</v>
      </c>
      <c r="F61" s="5" t="n">
        <v>9.99</v>
      </c>
      <c r="G61" s="6" t="n">
        <f aca="false">IF(F61="","",E61*F61)</f>
        <v>9.99</v>
      </c>
      <c r="H61" s="4" t="s">
        <v>19</v>
      </c>
      <c r="I61" s="7" t="s">
        <v>256</v>
      </c>
      <c r="J61" s="8" t="s">
        <v>21</v>
      </c>
      <c r="K61" s="2" t="n">
        <v>4.7</v>
      </c>
      <c r="L61" s="9" t="n">
        <v>31850</v>
      </c>
      <c r="M61" s="7" t="s">
        <v>257</v>
      </c>
      <c r="N61" s="7" t="s">
        <v>258</v>
      </c>
      <c r="O61" s="10"/>
    </row>
    <row r="62" customFormat="false" ht="15" hidden="false" customHeight="false" outlineLevel="0" collapsed="false">
      <c r="A62" s="2" t="s">
        <v>254</v>
      </c>
      <c r="B62" s="3" t="s">
        <v>259</v>
      </c>
      <c r="C62" s="2" t="s">
        <v>17</v>
      </c>
      <c r="D62" s="2" t="s">
        <v>18</v>
      </c>
      <c r="E62" s="4" t="n">
        <v>0</v>
      </c>
      <c r="F62" s="5"/>
      <c r="G62" s="6" t="str">
        <f aca="false">IF(F62="","",E62*F62)</f>
        <v/>
      </c>
      <c r="H62" s="4" t="s">
        <v>19</v>
      </c>
      <c r="I62" s="7" t="s">
        <v>260</v>
      </c>
      <c r="J62" s="2"/>
      <c r="K62" s="2"/>
      <c r="L62" s="9"/>
      <c r="M62" s="7" t="s">
        <v>261</v>
      </c>
      <c r="N62" s="7"/>
      <c r="O62" s="10"/>
    </row>
    <row r="63" customFormat="false" ht="15" hidden="false" customHeight="false" outlineLevel="0" collapsed="false">
      <c r="A63" s="2" t="s">
        <v>254</v>
      </c>
      <c r="B63" s="3" t="s">
        <v>262</v>
      </c>
      <c r="C63" s="2" t="s">
        <v>17</v>
      </c>
      <c r="D63" s="2" t="s">
        <v>263</v>
      </c>
      <c r="E63" s="4" t="n">
        <v>0</v>
      </c>
      <c r="F63" s="5"/>
      <c r="G63" s="6" t="str">
        <f aca="false">IF(F63="","",E63*F63)</f>
        <v/>
      </c>
      <c r="H63" s="4" t="s">
        <v>19</v>
      </c>
      <c r="I63" s="7" t="s">
        <v>264</v>
      </c>
      <c r="J63" s="2"/>
      <c r="K63" s="2"/>
      <c r="L63" s="9"/>
      <c r="M63" s="7" t="s">
        <v>265</v>
      </c>
      <c r="N63" s="7"/>
      <c r="O63" s="10"/>
    </row>
    <row r="64" customFormat="false" ht="15" hidden="false" customHeight="false" outlineLevel="0" collapsed="false">
      <c r="A64" s="2" t="s">
        <v>254</v>
      </c>
      <c r="B64" s="3" t="s">
        <v>266</v>
      </c>
      <c r="C64" s="2" t="s">
        <v>17</v>
      </c>
      <c r="D64" s="2" t="s">
        <v>263</v>
      </c>
      <c r="E64" s="4" t="n">
        <v>0</v>
      </c>
      <c r="F64" s="5"/>
      <c r="G64" s="6" t="str">
        <f aca="false">IF(F64="","",E64*F64)</f>
        <v/>
      </c>
      <c r="H64" s="4" t="s">
        <v>19</v>
      </c>
      <c r="I64" s="7" t="s">
        <v>267</v>
      </c>
      <c r="J64" s="2"/>
      <c r="K64" s="2"/>
      <c r="L64" s="9"/>
      <c r="M64" s="7" t="s">
        <v>268</v>
      </c>
      <c r="N64" s="7"/>
      <c r="O64" s="10"/>
    </row>
  </sheetData>
  <autoFilter ref="A1:O64"/>
  <conditionalFormatting sqref="A2:O64">
    <cfRule type="expression" priority="2" aboveAverage="0" equalAverage="0" bottom="0" percent="0" rank="0" text="" dxfId="6">
      <formula>$H2="Skip"</formula>
    </cfRule>
    <cfRule type="expression" priority="3" aboveAverage="0" equalAverage="0" bottom="0" percent="0" rank="0" text="" dxfId="7">
      <formula>$H2="Got"</formula>
    </cfRule>
    <cfRule type="expression" priority="4" aboveAverage="0" equalAverage="0" bottom="0" percent="0" rank="0" text="" dxfId="8">
      <formula>$H2="Want"</formula>
    </cfRule>
  </conditionalFormatting>
  <dataValidations count="1">
    <dataValidation allowBlank="false" error="Pick Idea, Want, Got, or Skip." errorStyle="stop" operator="between" showDropDown="false" showErrorMessage="false" showInputMessage="false" sqref="H2:H64" type="list">
      <formula1>"Idea,Want,Got,Skip"</formula1>
      <formula2>0</formula2>
    </dataValidation>
  </dataValidations>
  <hyperlinks>
    <hyperlink ref="J2" r:id="rId2" display="Open"/>
    <hyperlink ref="J3" r:id="rId3" display="Open"/>
    <hyperlink ref="J4" r:id="rId4" display="Open"/>
    <hyperlink ref="J5" r:id="rId5" display="Open"/>
    <hyperlink ref="J6" r:id="rId6" display="Open"/>
    <hyperlink ref="J7" r:id="rId7" display="Open"/>
    <hyperlink ref="J8" r:id="rId8" display="Open"/>
    <hyperlink ref="J9" r:id="rId9" display="Open"/>
    <hyperlink ref="J10" r:id="rId10" display="Open"/>
    <hyperlink ref="J11" r:id="rId11" display="Open"/>
    <hyperlink ref="J12" r:id="rId12" display="Open"/>
    <hyperlink ref="J13" r:id="rId13" display="Open"/>
    <hyperlink ref="J14" r:id="rId14" display="Open"/>
    <hyperlink ref="J15" r:id="rId15" display="Open"/>
    <hyperlink ref="J16" r:id="rId16" display="Open"/>
    <hyperlink ref="J17" r:id="rId17" display="Open"/>
    <hyperlink ref="J18" r:id="rId18" display="Open"/>
    <hyperlink ref="J19" r:id="rId19" display="Open"/>
    <hyperlink ref="J20" r:id="rId20" display="Open"/>
    <hyperlink ref="J21" r:id="rId21" display="Open"/>
    <hyperlink ref="J22" r:id="rId22" display="Open"/>
    <hyperlink ref="J23" r:id="rId23" display="Open"/>
    <hyperlink ref="J24" r:id="rId24" display="Open"/>
    <hyperlink ref="J25" r:id="rId25" display="Open"/>
    <hyperlink ref="J26" r:id="rId26" display="Open"/>
    <hyperlink ref="J27" r:id="rId27" display="Open"/>
    <hyperlink ref="J28" r:id="rId28" display="Open"/>
    <hyperlink ref="J29" r:id="rId29" display="Open"/>
    <hyperlink ref="J30" r:id="rId30" display="Open"/>
    <hyperlink ref="J31" r:id="rId31" display="Open"/>
    <hyperlink ref="J32" r:id="rId32" display="Open"/>
    <hyperlink ref="J33" r:id="rId33" display="Open"/>
    <hyperlink ref="J34" r:id="rId34" display="Open"/>
    <hyperlink ref="J35" r:id="rId35" display="Open"/>
    <hyperlink ref="J36" r:id="rId36" display="Open"/>
    <hyperlink ref="J37" r:id="rId37" display="Open"/>
    <hyperlink ref="J38" r:id="rId38" display="Open"/>
    <hyperlink ref="J39" r:id="rId39" display="Open"/>
    <hyperlink ref="J40" r:id="rId40" display="Open"/>
    <hyperlink ref="J41" r:id="rId41" display="Open"/>
    <hyperlink ref="J42" r:id="rId42" display="Open"/>
    <hyperlink ref="J43" r:id="rId43" display="Open"/>
    <hyperlink ref="J44" r:id="rId44" display="Open"/>
    <hyperlink ref="J45" r:id="rId45" display="Open"/>
    <hyperlink ref="J46" r:id="rId46" display="Open"/>
    <hyperlink ref="J47" r:id="rId47" display="Open"/>
    <hyperlink ref="J48" r:id="rId48" display="Open"/>
    <hyperlink ref="J49" r:id="rId49" display="Open"/>
    <hyperlink ref="J50" r:id="rId50" display="Open"/>
    <hyperlink ref="J51" r:id="rId51" display="Open"/>
    <hyperlink ref="J52" r:id="rId52" display="Open"/>
    <hyperlink ref="J53" r:id="rId53" display="Open"/>
    <hyperlink ref="J54" r:id="rId54" display="Open"/>
    <hyperlink ref="J55" r:id="rId55" display="Open"/>
    <hyperlink ref="J56" r:id="rId56" display="Open"/>
    <hyperlink ref="J57" r:id="rId57" display="Open"/>
    <hyperlink ref="J58" r:id="rId58" display="Open"/>
    <hyperlink ref="J59" r:id="rId59" display="Open"/>
    <hyperlink ref="J60" r:id="rId60" display="Open"/>
    <hyperlink ref="J61" r:id="rId61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"/>
  <legacy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1" t="s">
        <v>269</v>
      </c>
    </row>
    <row r="2" customFormat="false" ht="15" hidden="false" customHeight="false" outlineLevel="0" collapsed="false">
      <c r="A2" s="12" t="s">
        <v>270</v>
      </c>
    </row>
    <row r="4" customFormat="false" ht="15" hidden="false" customHeight="false" outlineLevel="0" collapsed="false">
      <c r="A4" s="13" t="s">
        <v>2</v>
      </c>
      <c r="B4" s="13" t="s">
        <v>271</v>
      </c>
      <c r="C4" s="13" t="s">
        <v>272</v>
      </c>
      <c r="D4" s="13" t="s">
        <v>273</v>
      </c>
      <c r="E4" s="13" t="s">
        <v>274</v>
      </c>
    </row>
    <row r="5" customFormat="false" ht="15" hidden="false" customHeight="false" outlineLevel="0" collapsed="false">
      <c r="A5" s="14" t="s">
        <v>17</v>
      </c>
      <c r="B5" s="15" t="n">
        <f aca="false">SUMIFS('Shopping List'!$G$2:$G$64,'Shopping List'!$C$2:$C$64,$A5,'Shopping List'!$H$2:$H$64,"&lt;&gt;Skip",'Shopping List'!$H$2:$H$64,"&lt;&gt;Got")</f>
        <v>1004.81</v>
      </c>
      <c r="C5" s="15" t="n">
        <f aca="false">SUMIFS('Shopping List'!$G$2:$G$64,'Shopping List'!$C$2:$C$64,$A5,'Shopping List'!$H$2:$H$64,"Want")</f>
        <v>0</v>
      </c>
      <c r="D5" s="15" t="n">
        <f aca="false">SUMIFS('Shopping List'!$G$2:$G$64,'Shopping List'!$C$2:$C$64,$A5,'Shopping List'!$H$2:$H$64,"Got")</f>
        <v>0</v>
      </c>
      <c r="E5" s="16" t="n">
        <f aca="false">COUNTIFS('Shopping List'!$C$2:$C$64,$A5)</f>
        <v>36</v>
      </c>
    </row>
    <row r="6" customFormat="false" ht="15" hidden="false" customHeight="false" outlineLevel="0" collapsed="false">
      <c r="A6" s="14" t="s">
        <v>41</v>
      </c>
      <c r="B6" s="15" t="n">
        <f aca="false">SUMIFS('Shopping List'!$G$2:$G$64,'Shopping List'!$C$2:$C$64,$A6,'Shopping List'!$H$2:$H$64,"&lt;&gt;Skip",'Shopping List'!$H$2:$H$64,"&lt;&gt;Got")</f>
        <v>418.86</v>
      </c>
      <c r="C6" s="15" t="n">
        <f aca="false">SUMIFS('Shopping List'!$G$2:$G$64,'Shopping List'!$C$2:$C$64,$A6,'Shopping List'!$H$2:$H$64,"Want")</f>
        <v>0</v>
      </c>
      <c r="D6" s="15" t="n">
        <f aca="false">SUMIFS('Shopping List'!$G$2:$G$64,'Shopping List'!$C$2:$C$64,$A6,'Shopping List'!$H$2:$H$64,"Got")</f>
        <v>0</v>
      </c>
      <c r="E6" s="16" t="n">
        <f aca="false">COUNTIFS('Shopping List'!$C$2:$C$64,$A6)</f>
        <v>18</v>
      </c>
    </row>
    <row r="7" customFormat="false" ht="15" hidden="false" customHeight="false" outlineLevel="0" collapsed="false">
      <c r="A7" s="14" t="s">
        <v>74</v>
      </c>
      <c r="B7" s="15" t="n">
        <f aca="false">SUMIFS('Shopping List'!$G$2:$G$64,'Shopping List'!$C$2:$C$64,$A7,'Shopping List'!$H$2:$H$64,"&lt;&gt;Skip",'Shopping List'!$H$2:$H$64,"&lt;&gt;Got")</f>
        <v>341.39</v>
      </c>
      <c r="C7" s="15" t="n">
        <f aca="false">SUMIFS('Shopping List'!$G$2:$G$64,'Shopping List'!$C$2:$C$64,$A7,'Shopping List'!$H$2:$H$64,"Want")</f>
        <v>0</v>
      </c>
      <c r="D7" s="15" t="n">
        <f aca="false">SUMIFS('Shopping List'!$G$2:$G$64,'Shopping List'!$C$2:$C$64,$A7,'Shopping List'!$H$2:$H$64,"Got")</f>
        <v>0</v>
      </c>
      <c r="E7" s="16" t="n">
        <f aca="false">COUNTIFS('Shopping List'!$C$2:$C$64,$A7)</f>
        <v>4</v>
      </c>
    </row>
    <row r="8" customFormat="false" ht="15" hidden="false" customHeight="false" outlineLevel="0" collapsed="false">
      <c r="A8" s="14" t="s">
        <v>25</v>
      </c>
      <c r="B8" s="15" t="n">
        <f aca="false">SUMIFS('Shopping List'!$G$2:$G$64,'Shopping List'!$C$2:$C$64,$A8,'Shopping List'!$H$2:$H$64,"&lt;&gt;Skip",'Shopping List'!$H$2:$H$64,"&lt;&gt;Got")</f>
        <v>331.16</v>
      </c>
      <c r="C8" s="15" t="n">
        <f aca="false">SUMIFS('Shopping List'!$G$2:$G$64,'Shopping List'!$C$2:$C$64,$A8,'Shopping List'!$H$2:$H$64,"Want")</f>
        <v>0</v>
      </c>
      <c r="D8" s="15" t="n">
        <f aca="false">SUMIFS('Shopping List'!$G$2:$G$64,'Shopping List'!$C$2:$C$64,$A8,'Shopping List'!$H$2:$H$64,"Got")</f>
        <v>0</v>
      </c>
      <c r="E8" s="16" t="n">
        <f aca="false">COUNTIFS('Shopping List'!$C$2:$C$64,$A8)</f>
        <v>5</v>
      </c>
    </row>
    <row r="9" customFormat="false" ht="15" hidden="false" customHeight="false" outlineLevel="0" collapsed="false">
      <c r="A9" s="14" t="s">
        <v>275</v>
      </c>
      <c r="B9" s="17" t="n">
        <f aca="false">SUM(B5:B8)</f>
        <v>2096.22</v>
      </c>
      <c r="C9" s="17" t="n">
        <f aca="false">SUM(C5:C8)</f>
        <v>0</v>
      </c>
      <c r="D9" s="17" t="n">
        <f aca="false">SUM(D5:D8)</f>
        <v>0</v>
      </c>
      <c r="E9" s="14" t="n">
        <f aca="false">SUM(E5:E8)</f>
        <v>63</v>
      </c>
    </row>
    <row r="11" customFormat="false" ht="15" hidden="false" customHeight="false" outlineLevel="0" collapsed="false">
      <c r="A11" s="13" t="s">
        <v>0</v>
      </c>
      <c r="B11" s="13" t="s">
        <v>271</v>
      </c>
      <c r="C11" s="13" t="s">
        <v>272</v>
      </c>
      <c r="D11" s="13" t="s">
        <v>273</v>
      </c>
      <c r="E11" s="13" t="s">
        <v>274</v>
      </c>
    </row>
    <row r="12" customFormat="false" ht="15" hidden="false" customHeight="false" outlineLevel="0" collapsed="false">
      <c r="A12" s="14" t="s">
        <v>15</v>
      </c>
      <c r="B12" s="15" t="n">
        <f aca="false">SUMIFS('Shopping List'!$G$2:$G$64,'Shopping List'!$A$2:$A$64,$A12,'Shopping List'!$H$2:$H$64,"&lt;&gt;Skip",'Shopping List'!$H$2:$H$64,"&lt;&gt;Got")</f>
        <v>513.43</v>
      </c>
      <c r="C12" s="15" t="n">
        <f aca="false">SUMIFS('Shopping List'!$G$2:$G$64,'Shopping List'!$A$2:$A$64,$A12,'Shopping List'!$H$2:$H$64,"Want")</f>
        <v>0</v>
      </c>
      <c r="D12" s="15" t="n">
        <f aca="false">SUMIFS('Shopping List'!$G$2:$G$64,'Shopping List'!$A$2:$A$64,$A12,'Shopping List'!$H$2:$H$64,"Got")</f>
        <v>0</v>
      </c>
      <c r="E12" s="16" t="n">
        <f aca="false">COUNTIFS('Shopping List'!$A$2:$A$64,$A12)</f>
        <v>7</v>
      </c>
    </row>
    <row r="13" customFormat="false" ht="15" hidden="false" customHeight="false" outlineLevel="0" collapsed="false">
      <c r="A13" s="14" t="s">
        <v>48</v>
      </c>
      <c r="B13" s="15" t="n">
        <f aca="false">SUMIFS('Shopping List'!$G$2:$G$64,'Shopping List'!$A$2:$A$64,$A13,'Shopping List'!$H$2:$H$64,"&lt;&gt;Skip",'Shopping List'!$H$2:$H$64,"&lt;&gt;Got")</f>
        <v>708.23</v>
      </c>
      <c r="C13" s="15" t="n">
        <f aca="false">SUMIFS('Shopping List'!$G$2:$G$64,'Shopping List'!$A$2:$A$64,$A13,'Shopping List'!$H$2:$H$64,"Want")</f>
        <v>0</v>
      </c>
      <c r="D13" s="15" t="n">
        <f aca="false">SUMIFS('Shopping List'!$G$2:$G$64,'Shopping List'!$A$2:$A$64,$A13,'Shopping List'!$H$2:$H$64,"Got")</f>
        <v>0</v>
      </c>
      <c r="E13" s="16" t="n">
        <f aca="false">COUNTIFS('Shopping List'!$A$2:$A$64,$A13)</f>
        <v>9</v>
      </c>
    </row>
    <row r="14" customFormat="false" ht="15" hidden="false" customHeight="false" outlineLevel="0" collapsed="false">
      <c r="A14" s="14" t="s">
        <v>85</v>
      </c>
      <c r="B14" s="15" t="n">
        <f aca="false">SUMIFS('Shopping List'!$G$2:$G$64,'Shopping List'!$A$2:$A$64,$A14,'Shopping List'!$H$2:$H$64,"&lt;&gt;Skip",'Shopping List'!$H$2:$H$64,"&lt;&gt;Got")</f>
        <v>152.22</v>
      </c>
      <c r="C14" s="15" t="n">
        <f aca="false">SUMIFS('Shopping List'!$G$2:$G$64,'Shopping List'!$A$2:$A$64,$A14,'Shopping List'!$H$2:$H$64,"Want")</f>
        <v>0</v>
      </c>
      <c r="D14" s="15" t="n">
        <f aca="false">SUMIFS('Shopping List'!$G$2:$G$64,'Shopping List'!$A$2:$A$64,$A14,'Shopping List'!$H$2:$H$64,"Got")</f>
        <v>0</v>
      </c>
      <c r="E14" s="16" t="n">
        <f aca="false">COUNTIFS('Shopping List'!$A$2:$A$64,$A14)</f>
        <v>11</v>
      </c>
    </row>
    <row r="15" customFormat="false" ht="15" hidden="false" customHeight="false" outlineLevel="0" collapsed="false">
      <c r="A15" s="14" t="s">
        <v>125</v>
      </c>
      <c r="B15" s="15" t="n">
        <f aca="false">SUMIFS('Shopping List'!$G$2:$G$64,'Shopping List'!$A$2:$A$64,$A15,'Shopping List'!$H$2:$H$64,"&lt;&gt;Skip",'Shopping List'!$H$2:$H$64,"&lt;&gt;Got")</f>
        <v>242.63</v>
      </c>
      <c r="C15" s="15" t="n">
        <f aca="false">SUMIFS('Shopping List'!$G$2:$G$64,'Shopping List'!$A$2:$A$64,$A15,'Shopping List'!$H$2:$H$64,"Want")</f>
        <v>0</v>
      </c>
      <c r="D15" s="15" t="n">
        <f aca="false">SUMIFS('Shopping List'!$G$2:$G$64,'Shopping List'!$A$2:$A$64,$A15,'Shopping List'!$H$2:$H$64,"Got")</f>
        <v>0</v>
      </c>
      <c r="E15" s="16" t="n">
        <f aca="false">COUNTIFS('Shopping List'!$A$2:$A$64,$A15)</f>
        <v>8</v>
      </c>
    </row>
    <row r="16" customFormat="false" ht="15" hidden="false" customHeight="false" outlineLevel="0" collapsed="false">
      <c r="A16" s="14" t="s">
        <v>157</v>
      </c>
      <c r="B16" s="15" t="n">
        <f aca="false">SUMIFS('Shopping List'!$G$2:$G$64,'Shopping List'!$A$2:$A$64,$A16,'Shopping List'!$H$2:$H$64,"&lt;&gt;Skip",'Shopping List'!$H$2:$H$64,"&lt;&gt;Got")</f>
        <v>152.92</v>
      </c>
      <c r="C16" s="15" t="n">
        <f aca="false">SUMIFS('Shopping List'!$G$2:$G$64,'Shopping List'!$A$2:$A$64,$A16,'Shopping List'!$H$2:$H$64,"Want")</f>
        <v>0</v>
      </c>
      <c r="D16" s="15" t="n">
        <f aca="false">SUMIFS('Shopping List'!$G$2:$G$64,'Shopping List'!$A$2:$A$64,$A16,'Shopping List'!$H$2:$H$64,"Got")</f>
        <v>0</v>
      </c>
      <c r="E16" s="16" t="n">
        <f aca="false">COUNTIFS('Shopping List'!$A$2:$A$64,$A16)</f>
        <v>7</v>
      </c>
    </row>
    <row r="17" customFormat="false" ht="15" hidden="false" customHeight="false" outlineLevel="0" collapsed="false">
      <c r="A17" s="14" t="s">
        <v>187</v>
      </c>
      <c r="B17" s="15" t="n">
        <f aca="false">SUMIFS('Shopping List'!$G$2:$G$64,'Shopping List'!$A$2:$A$64,$A17,'Shopping List'!$H$2:$H$64,"&lt;&gt;Skip",'Shopping List'!$H$2:$H$64,"&lt;&gt;Got")</f>
        <v>95.93</v>
      </c>
      <c r="C17" s="15" t="n">
        <f aca="false">SUMIFS('Shopping List'!$G$2:$G$64,'Shopping List'!$A$2:$A$64,$A17,'Shopping List'!$H$2:$H$64,"Want")</f>
        <v>0</v>
      </c>
      <c r="D17" s="15" t="n">
        <f aca="false">SUMIFS('Shopping List'!$G$2:$G$64,'Shopping List'!$A$2:$A$64,$A17,'Shopping List'!$H$2:$H$64,"Got")</f>
        <v>0</v>
      </c>
      <c r="E17" s="16" t="n">
        <f aca="false">COUNTIFS('Shopping List'!$A$2:$A$64,$A17)</f>
        <v>5</v>
      </c>
    </row>
    <row r="18" customFormat="false" ht="15" hidden="false" customHeight="false" outlineLevel="0" collapsed="false">
      <c r="A18" s="14" t="s">
        <v>206</v>
      </c>
      <c r="B18" s="15" t="n">
        <f aca="false">SUMIFS('Shopping List'!$G$2:$G$64,'Shopping List'!$A$2:$A$64,$A18,'Shopping List'!$H$2:$H$64,"&lt;&gt;Skip",'Shopping List'!$H$2:$H$64,"&lt;&gt;Got")</f>
        <v>43.77</v>
      </c>
      <c r="C18" s="15" t="n">
        <f aca="false">SUMIFS('Shopping List'!$G$2:$G$64,'Shopping List'!$A$2:$A$64,$A18,'Shopping List'!$H$2:$H$64,"Want")</f>
        <v>0</v>
      </c>
      <c r="D18" s="15" t="n">
        <f aca="false">SUMIFS('Shopping List'!$G$2:$G$64,'Shopping List'!$A$2:$A$64,$A18,'Shopping List'!$H$2:$H$64,"Got")</f>
        <v>0</v>
      </c>
      <c r="E18" s="16" t="n">
        <f aca="false">COUNTIFS('Shopping List'!$A$2:$A$64,$A18)</f>
        <v>4</v>
      </c>
    </row>
    <row r="19" customFormat="false" ht="15" hidden="false" customHeight="false" outlineLevel="0" collapsed="false">
      <c r="A19" s="14" t="s">
        <v>223</v>
      </c>
      <c r="B19" s="15" t="n">
        <f aca="false">SUMIFS('Shopping List'!$G$2:$G$64,'Shopping List'!$A$2:$A$64,$A19,'Shopping List'!$H$2:$H$64,"&lt;&gt;Skip",'Shopping List'!$H$2:$H$64,"&lt;&gt;Got")</f>
        <v>75.96</v>
      </c>
      <c r="C19" s="15" t="n">
        <f aca="false">SUMIFS('Shopping List'!$G$2:$G$64,'Shopping List'!$A$2:$A$64,$A19,'Shopping List'!$H$2:$H$64,"Want")</f>
        <v>0</v>
      </c>
      <c r="D19" s="15" t="n">
        <f aca="false">SUMIFS('Shopping List'!$G$2:$G$64,'Shopping List'!$A$2:$A$64,$A19,'Shopping List'!$H$2:$H$64,"Got")</f>
        <v>0</v>
      </c>
      <c r="E19" s="16" t="n">
        <f aca="false">COUNTIFS('Shopping List'!$A$2:$A$64,$A19)</f>
        <v>2</v>
      </c>
    </row>
    <row r="20" customFormat="false" ht="15" hidden="false" customHeight="false" outlineLevel="0" collapsed="false">
      <c r="A20" s="14" t="s">
        <v>231</v>
      </c>
      <c r="B20" s="15" t="n">
        <f aca="false">SUMIFS('Shopping List'!$G$2:$G$64,'Shopping List'!$A$2:$A$64,$A20,'Shopping List'!$H$2:$H$64,"&lt;&gt;Skip",'Shopping List'!$H$2:$H$64,"&lt;&gt;Got")</f>
        <v>101.14</v>
      </c>
      <c r="C20" s="15" t="n">
        <f aca="false">SUMIFS('Shopping List'!$G$2:$G$64,'Shopping List'!$A$2:$A$64,$A20,'Shopping List'!$H$2:$H$64,"Want")</f>
        <v>0</v>
      </c>
      <c r="D20" s="15" t="n">
        <f aca="false">SUMIFS('Shopping List'!$G$2:$G$64,'Shopping List'!$A$2:$A$64,$A20,'Shopping List'!$H$2:$H$64,"Got")</f>
        <v>0</v>
      </c>
      <c r="E20" s="16" t="n">
        <f aca="false">COUNTIFS('Shopping List'!$A$2:$A$64,$A20)</f>
        <v>6</v>
      </c>
    </row>
    <row r="21" customFormat="false" ht="15" hidden="false" customHeight="false" outlineLevel="0" collapsed="false">
      <c r="A21" s="14" t="s">
        <v>254</v>
      </c>
      <c r="B21" s="15" t="n">
        <f aca="false">SUMIFS('Shopping List'!$G$2:$G$64,'Shopping List'!$A$2:$A$64,$A21,'Shopping List'!$H$2:$H$64,"&lt;&gt;Skip",'Shopping List'!$H$2:$H$64,"&lt;&gt;Got")</f>
        <v>9.99</v>
      </c>
      <c r="C21" s="15" t="n">
        <f aca="false">SUMIFS('Shopping List'!$G$2:$G$64,'Shopping List'!$A$2:$A$64,$A21,'Shopping List'!$H$2:$H$64,"Want")</f>
        <v>0</v>
      </c>
      <c r="D21" s="15" t="n">
        <f aca="false">SUMIFS('Shopping List'!$G$2:$G$64,'Shopping List'!$A$2:$A$64,$A21,'Shopping List'!$H$2:$H$64,"Got")</f>
        <v>0</v>
      </c>
      <c r="E21" s="16" t="n">
        <f aca="false">COUNTIFS('Shopping List'!$A$2:$A$64,$A21)</f>
        <v>4</v>
      </c>
    </row>
    <row r="23" customFormat="false" ht="45" hidden="false" customHeight="true" outlineLevel="0" collapsed="false">
      <c r="A23" s="18" t="s">
        <v>276</v>
      </c>
      <c r="B23" s="18"/>
      <c r="C23" s="18"/>
      <c r="D23" s="18"/>
      <c r="E23" s="18"/>
    </row>
  </sheetData>
  <mergeCells count="1"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9" t="s">
        <v>277</v>
      </c>
    </row>
    <row r="3" customFormat="false" ht="45" hidden="false" customHeight="true" outlineLevel="0" collapsed="false">
      <c r="A3" s="20" t="s">
        <v>278</v>
      </c>
      <c r="B3" s="21" t="s">
        <v>279</v>
      </c>
    </row>
    <row r="4" customFormat="false" ht="45" hidden="false" customHeight="true" outlineLevel="0" collapsed="false">
      <c r="A4" s="20" t="s">
        <v>280</v>
      </c>
      <c r="B4" s="21" t="s">
        <v>281</v>
      </c>
    </row>
    <row r="5" customFormat="false" ht="45" hidden="false" customHeight="true" outlineLevel="0" collapsed="false">
      <c r="A5" s="20" t="s">
        <v>282</v>
      </c>
      <c r="B5" s="21" t="s">
        <v>283</v>
      </c>
    </row>
    <row r="6" customFormat="false" ht="45" hidden="false" customHeight="true" outlineLevel="0" collapsed="false">
      <c r="A6" s="20" t="s">
        <v>284</v>
      </c>
      <c r="B6" s="21" t="s">
        <v>285</v>
      </c>
    </row>
    <row r="7" customFormat="false" ht="45" hidden="false" customHeight="true" outlineLevel="0" collapsed="false">
      <c r="A7" s="20" t="s">
        <v>286</v>
      </c>
      <c r="B7" s="21" t="s">
        <v>287</v>
      </c>
    </row>
    <row r="8" customFormat="false" ht="45" hidden="false" customHeight="true" outlineLevel="0" collapsed="false">
      <c r="A8" s="20" t="s">
        <v>288</v>
      </c>
      <c r="B8" s="21" t="s">
        <v>289</v>
      </c>
    </row>
    <row r="9" customFormat="false" ht="45" hidden="false" customHeight="true" outlineLevel="0" collapsed="false">
      <c r="A9" s="20" t="s">
        <v>290</v>
      </c>
      <c r="B9" s="21" t="s">
        <v>291</v>
      </c>
    </row>
    <row r="10" customFormat="false" ht="45" hidden="false" customHeight="true" outlineLevel="0" collapsed="false">
      <c r="A10" s="20" t="s">
        <v>292</v>
      </c>
      <c r="B10" s="21" t="s">
        <v>293</v>
      </c>
    </row>
    <row r="11" customFormat="false" ht="45" hidden="false" customHeight="true" outlineLevel="0" collapsed="false">
      <c r="A11" s="20" t="s">
        <v>294</v>
      </c>
      <c r="B11" s="21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2026-10-09T17:30:29Z</dcterms:created>
  <dc:creator>openpyxl</dc:creator>
  <dc:description/>
  <dc:language>en-GB</dc:language>
  <cp:lastModifiedBy/>
  <dcterms:modified xsi:type="dcterms:W3CDTF">2026-10-09T17:30:29Z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